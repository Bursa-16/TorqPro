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a4ca5667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KUMA_KILAVUZU" sheetId="1" r:id="R2fbb8d710686412c"/>
    <x:sheet xmlns:r="http://schemas.openxmlformats.org/officeDocument/2006/relationships" name="Kaynaklar" sheetId="2" r:id="R67b7c96f26a2414c"/>
    <x:sheet xmlns:r="http://schemas.openxmlformats.org/officeDocument/2006/relationships" name="Standartlar" sheetId="3" r:id="Rd617546c416f4c8f"/>
    <x:sheet xmlns:r="http://schemas.openxmlformats.org/officeDocument/2006/relationships" name="Dis_Serisi" sheetId="4" r:id="R7d13e72e74e141be"/>
    <x:sheet xmlns:r="http://schemas.openxmlformats.org/officeDocument/2006/relationships" name="Dayanim_Siniflari" sheetId="5" r:id="Rf772609dfca94388"/>
    <x:sheet xmlns:r="http://schemas.openxmlformats.org/officeDocument/2006/relationships" name="Civata_Geometri" sheetId="6" r:id="R1dfcca45567c4361"/>
    <x:sheet xmlns:r="http://schemas.openxmlformats.org/officeDocument/2006/relationships" name="Somun_Geometri" sheetId="7" r:id="R2bdd9bc76f804515"/>
    <x:sheet xmlns:r="http://schemas.openxmlformats.org/officeDocument/2006/relationships" name="Pul_Geometri" sheetId="8" r:id="R11f244b914b54984"/>
    <x:sheet xmlns:r="http://schemas.openxmlformats.org/officeDocument/2006/relationships" name="Kaplama_Surtunme" sheetId="9" r:id="R91243f9811084bd3"/>
    <x:sheet xmlns:r="http://schemas.openxmlformats.org/officeDocument/2006/relationships" name="Malzeme_Kullanim" sheetId="10" r:id="Rb47ba941cead4b47"/>
    <x:sheet xmlns:r="http://schemas.openxmlformats.org/officeDocument/2006/relationships" name="Uyumluluk_Kurallari" sheetId="11" r:id="R56e51b1647074e26"/>
    <x:sheet xmlns:r="http://schemas.openxmlformats.org/officeDocument/2006/relationships" name="Dogrulama_Kaydi" sheetId="12" r:id="R7d68f7aa1caf41f2"/>
    <x:sheet xmlns:r="http://schemas.openxmlformats.org/officeDocument/2006/relationships" name="Urun_Aileleri" sheetId="13" r:id="R232ca2c890174c3d"/>
    <x:sheet xmlns:r="http://schemas.openxmlformats.org/officeDocument/2006/relationships" name="Boy_Serileri" sheetId="14" r:id="R8cde9f3e6f8c4397"/>
    <x:sheet xmlns:r="http://schemas.openxmlformats.org/officeDocument/2006/relationships" name="Somun_Proof_Load" sheetId="15" r:id="R8de348ea4611404c"/>
    <x:sheet xmlns:r="http://schemas.openxmlformats.org/officeDocument/2006/relationships" name="Arastirma_Dogrulama" sheetId="16" r:id="R415dcfba34c04e1c"/>
  </x:sheets>
</x:workbook>
</file>

<file path=xl/sharedStrings.xml><?xml version="1.0" encoding="utf-8"?>
<x:sst xmlns:x="http://schemas.openxmlformats.org/spreadsheetml/2006/main">
  <x:si>
    <x:t xml:space="preserve">BAĞLANTI ELEMANLARI KÜTÜPHANESİ v3 — İLİŞKİSEL VERİ MİMARİSİ</x:t>
  </x:si>
  <x:si>
    <x:t xml:space="preserve">AMAÇ</x:t>
  </x:si>
  <x:si>
    <x:t xml:space="preserve">TorqPro için standart bazlı gerçek geometri, malzeme, kaplama/sürtünme ve uyumluluk veri altyapısı. v2 taslak/indeks olarak korunur; v3 doğrulanmış veri paketi hedefler.</x:t>
  </x:si>
  <x:si>
    <x:t xml:space="preserve">TABLO İLİŞKİLERİ</x:t>
  </x:si>
  <x:si>
    <x:t xml:space="preserve">Dis_Serisi</x:t>
  </x:si>
  <x:si>
    <x:t xml:space="preserve">Ana diş geometrisi (ISO 261/262/724). Diğer tüm tablolar Dis_Kodu ile buna bağlanır.</x:t>
  </x:si>
  <x:si>
    <x:t xml:space="preserve">Standartlar</x:t>
  </x:si>
  <x:si>
    <x:t xml:space="preserve">Öncelikli standart kayıtları. Geometri tabloları Standart_No ile buna bağlanır.</x:t>
  </x:si>
  <x:si>
    <x:t xml:space="preserve">Dayanim_Siniflari</x:t>
  </x:si>
  <x:si>
    <x:t xml:space="preserve">ISO 898-1/898-2/3506 mekanik özellikler. Sinif_Kodu ile bağlanır.</x:t>
  </x:si>
  <x:si>
    <x:t xml:space="preserve">Civata_Geometri / Somun_Geometri / Pul_Geometri</x:t>
  </x:si>
  <x:si>
    <x:t xml:space="preserve">Standart + Dis_Kodu kombinasyonuyla tekil satır.</x:t>
  </x:si>
  <x:si>
    <x:t xml:space="preserve">Kaplama_Surtunme</x:t>
  </x:si>
  <x:si>
    <x:t xml:space="preserve">COAT-XXX kayıtları: μthread / μbearing / μtotal ayrımı, topcoat, test standardı, parti referansı.</x:t>
  </x:si>
  <x:si>
    <x:t xml:space="preserve">Malzeme_Kullanim</x:t>
  </x:si>
  <x:si>
    <x:t xml:space="preserve">Malzeme → kullanım uygunluğu (genel / ısı / mukavemet / korozyon). Kaynak: katalog sayfa 89 tipi tablolar.</x:t>
  </x:si>
  <x:si>
    <x:t xml:space="preserve">Uyumluluk_Kurallari</x:t>
  </x:si>
  <x:si>
    <x:t xml:space="preserve">Civata-somun-pul eşleştirme ve diş kavrama kuralları (TorqPro uyumluluk motoru girdisi).</x:t>
  </x:si>
  <x:si>
    <x:t xml:space="preserve">Kaynaklar</x:t>
  </x:si>
  <x:si>
    <x:t xml:space="preserve">Her veri satırının Kaynak_ID ile bağlandığı doküman/görsel kayıtları.</x:t>
  </x:si>
  <x:si>
    <x:t xml:space="preserve">Dogrulama_Kaydi</x:t>
  </x:si>
  <x:si>
    <x:t xml:space="preserve">Doğrulama işlemlerinin günlüğü (kim, ne zaman, hangi satırlar).</x:t>
  </x:si>
  <x:si>
    <x:t xml:space="preserve">GÜVEN SEVİYESİ LEJANTI</x:t>
  </x:si>
  <x:si>
    <x:t xml:space="preserve">1 — Taslak</x:t>
  </x:si>
  <x:si>
    <x:t xml:space="preserve">Şema örneği veya doğrulanmamış giriş. Hesapta KULLANILMAZ.</x:t>
  </x:si>
  <x:si>
    <x:t xml:space="preserve">2 — Hesaplanmış</x:t>
  </x:si>
  <x:si>
    <x:t xml:space="preserve">Formülle türetildi (ör. d2, d3, As ← ISO 724 formülleri). Hesapta uyarı ile kullanılabilir.</x:t>
  </x:si>
  <x:si>
    <x:t xml:space="preserve">3 — Standarttan girildi</x:t>
  </x:si>
  <x:si>
    <x:t xml:space="preserve">Standart/katalog tablosundan elle girildi; ikinci kişi doğrulaması bekliyor.</x:t>
  </x:si>
  <x:si>
    <x:t xml:space="preserve">4 — Doğrulanmış</x:t>
  </x:si>
  <x:si>
    <x:t xml:space="preserve">Resmî doküman veya test ile ikinci kontrol tamamlandı. TorqPro üretim hesabı yalnız bu seviyeyi kullanmalı.</x:t>
  </x:si>
  <x:si>
    <x:t xml:space="preserve">DÜZENLENEBİLİR HÜCRELER</x:t>
  </x:si>
  <x:si>
    <x:t xml:space="preserve">Mavi yazı = elle giriş. Siyah = formül (dokunmayın). Sarı dolgu = doldurulması beklenen kritik alan.</x:t>
  </x:si>
  <x:si>
    <x:t xml:space="preserve">ÖRNEK SATIR</x:t>
  </x:si>
  <x:si>
    <x:t xml:space="preserve">Her tabloda ilk satır gerçekçi örnek formatı gösterir.</x:t>
  </x:si>
  <x:si>
    <x:t xml:space="preserve">KAYNAK DOKÜMAN KAYITLARI</x:t>
  </x:si>
  <x:si>
    <x:t xml:space="preserve">Kaynak_ID</x:t>
  </x:si>
  <x:si>
    <x:t xml:space="preserve">Tür</x:t>
  </x:si>
  <x:si>
    <x:t xml:space="preserve">Ad / Tanım</x:t>
  </x:si>
  <x:si>
    <x:t xml:space="preserve">Sayfa/Görsel Ref</x:t>
  </x:si>
  <x:si>
    <x:t xml:space="preserve">Erişim</x:t>
  </x:si>
  <x:si>
    <x:t xml:space="preserve">Not</x:t>
  </x:si>
  <x:si>
    <x:t xml:space="preserve">SRC-001</x:t>
  </x:si>
  <x:si>
    <x:t xml:space="preserve">Resmî standart</x:t>
  </x:si>
  <x:si>
    <x:t xml:space="preserve">ISO 724 — Metrik vida temel ölçüleri</x:t>
  </x:si>
  <x:si>
    <x:t xml:space="preserve">—</x:t>
  </x:si>
  <x:si>
    <x:t xml:space="preserve">Satın alınacak / kurumsal abonelik</x:t>
  </x:si>
  <x:si>
    <x:t xml:space="preserve">d2, d3 formüllerinin kaynağı</x:t>
  </x:si>
  <x:si>
    <x:t xml:space="preserve">SRC-002</x:t>
  </x:si>
  <x:si>
    <x:t xml:space="preserve">ISO 898-1 — Civata mekanik özellikleri</x:t>
  </x:si>
  <x:si>
    <x:t xml:space="preserve">Satın alınacak</x:t>
  </x:si>
  <x:si>
    <x:t xml:space="preserve">Rm, Rp0.2, As tabloları</x:t>
  </x:si>
  <x:si>
    <x:t xml:space="preserve">SRC-003</x:t>
  </x:si>
  <x:si>
    <x:t xml:space="preserve">ISO 4017 / ISO 4014 — Altıgen başlı civata</x:t>
  </x:si>
  <x:si>
    <x:t xml:space="preserve">s, k, diş boyu</x:t>
  </x:si>
  <x:si>
    <x:t xml:space="preserve">SRC-004</x:t>
  </x:si>
  <x:si>
    <x:t xml:space="preserve">ISO 4032 / 4035 / 7040 — Somunlar</x:t>
  </x:si>
  <x:si>
    <x:t xml:space="preserve">s, m yükseklikleri</x:t>
  </x:si>
  <x:si>
    <x:t xml:space="preserve">SRC-005</x:t>
  </x:si>
  <x:si>
    <x:t xml:space="preserve">ISO 7089 / 7090 / 7093-1 — Pullar</x:t>
  </x:si>
  <x:si>
    <x:t xml:space="preserve">d1, d2, h</x:t>
  </x:si>
  <x:si>
    <x:t xml:space="preserve">SRC-006</x:t>
  </x:si>
  <x:si>
    <x:t xml:space="preserve">Katalog görseli</x:t>
  </x:si>
  <x:si>
    <x:t xml:space="preserve">civata_somun_kutuphane.zip — 395 görsel</x:t>
  </x:si>
  <x:si>
    <x:t xml:space="preserve">ör. 100.PNG, Resim_89.jpg</x:t>
  </x:si>
  <x:si>
    <x:t xml:space="preserve">ZIP arşivi (yüklü)</x:t>
  </x:si>
  <x:si>
    <x:t xml:space="preserve">Düşük çözünürlük: elle okuma + 2. kontrol şart</x:t>
  </x:si>
  <x:si>
    <x:t xml:space="preserve">SRC-007</x:t>
  </x:si>
  <x:si>
    <x:t xml:space="preserve">Malzeme/kullanım tablosu (kitap s.89)</x:t>
  </x:si>
  <x:si>
    <x:t xml:space="preserve">1783786172769_image.png</x:t>
  </x:si>
  <x:si>
    <x:t xml:space="preserve">Yüklendi</x:t>
  </x:si>
  <x:si>
    <x:t xml:space="preserve">Malzeme_Kullanim şemasının kaynağı</x:t>
  </x:si>
  <x:si>
    <x:t xml:space="preserve">SRC-008</x:t>
  </x:si>
  <x:si>
    <x:t xml:space="preserve">ANSI somun ölçü tablosu (kitap s.102)</x:t>
  </x:si>
  <x:si>
    <x:t xml:space="preserve">1783786179057_image.png</x:t>
  </x:si>
  <x:si>
    <x:t xml:space="preserve">Somun geometri aday verisi — perspektif bozuk, doğrulama şart</x:t>
  </x:si>
  <x:si>
    <x:t xml:space="preserve">SRC-009</x:t>
  </x:si>
  <x:si>
    <x:t xml:space="preserve">Hesap/Formül</x:t>
  </x:si>
  <x:si>
    <x:t xml:space="preserve">ISO 724 türetme formülleri: d2=d−0.6495p, d3=d−1.2269p, As=(π/4)·((d2+d3)/2)²</x:t>
  </x:si>
  <x:si>
    <x:t xml:space="preserve">Bu dosyada gömülü</x:t>
  </x:si>
  <x:si>
    <x:t xml:space="preserve">Güven 2 kayıtların dayanağı</x:t>
  </x:si>
  <x:si>
    <x:t xml:space="preserve">ÖNCELİKLİ STANDART KAYITLARI (İlk veri paketi kapsamı)</x:t>
  </x:si>
  <x:si>
    <x:t xml:space="preserve">Standart_No</x:t>
  </x:si>
  <x:si>
    <x:t xml:space="preserve">Grup</x:t>
  </x:si>
  <x:si>
    <x:t xml:space="preserve">Tanım</x:t>
  </x:si>
  <x:si>
    <x:t xml:space="preserve">Eski/Eşdeğer</x:t>
  </x:si>
  <x:si>
    <x:t xml:space="preserve">Kapsam Notu</x:t>
  </x:si>
  <x:si>
    <x:t xml:space="preserve">Öncelik</x:t>
  </x:si>
  <x:si>
    <x:t xml:space="preserve">Veri Durumu</x:t>
  </x:si>
  <x:si>
    <x:t xml:space="preserve">ISO 4014</x:t>
  </x:si>
  <x:si>
    <x:t xml:space="preserve">Civata</x:t>
  </x:si>
  <x:si>
    <x:t xml:space="preserve">Altıgen başlı civata — kısmi diş</x:t>
  </x:si>
  <x:si>
    <x:t xml:space="preserve">DIN 931</x:t>
  </x:si>
  <x:si>
    <x:t xml:space="preserve">A ve B ürün sınıfı</x:t>
  </x:si>
  <x:si>
    <x:t xml:space="preserve">1</x:t>
  </x:si>
  <x:si>
    <x:t xml:space="preserve">Geometri girildi (G3)</x:t>
  </x:si>
  <x:si>
    <x:t xml:space="preserve">ISO 4017</x:t>
  </x:si>
  <x:si>
    <x:t xml:space="preserve">Altıgen başlı civata — tam diş</x:t>
  </x:si>
  <x:si>
    <x:t xml:space="preserve">DIN 933</x:t>
  </x:si>
  <x:si>
    <x:t xml:space="preserve">ISO 4762</x:t>
  </x:si>
  <x:si>
    <x:t xml:space="preserve">Silindirik başlı imbus civata</x:t>
  </x:si>
  <x:si>
    <x:t xml:space="preserve">DIN 912</x:t>
  </x:si>
  <x:si>
    <x:t xml:space="preserve">Alyan tahrik</x:t>
  </x:si>
  <x:si>
    <x:t xml:space="preserve">ISO 10642</x:t>
  </x:si>
  <x:si>
    <x:t xml:space="preserve">Havşa başlı imbus civata</x:t>
  </x:si>
  <x:si>
    <x:t xml:space="preserve">DIN 7991</x:t>
  </x:si>
  <x:si>
    <x:t xml:space="preserve">90° havşa</x:t>
  </x:si>
  <x:si>
    <x:t xml:space="preserve">Bekliyor</x:t>
  </x:si>
  <x:si>
    <x:t xml:space="preserve">ISO 7380-1</x:t>
  </x:si>
  <x:si>
    <x:t xml:space="preserve">Bombeli başlı imbus civata</x:t>
  </x:si>
  <x:si>
    <x:t xml:space="preserve">Düğme baş</x:t>
  </x:si>
  <x:si>
    <x:t xml:space="preserve">EN 1665</x:t>
  </x:si>
  <x:si>
    <x:t xml:space="preserve">Flanşlı altıgen civata — ağır seri</x:t>
  </x:si>
  <x:si>
    <x:t xml:space="preserve">Flanş çapı dc dahil</x:t>
  </x:si>
  <x:si>
    <x:t xml:space="preserve">EN 1662</x:t>
  </x:si>
  <x:si>
    <x:t xml:space="preserve">Flanşlı altıgen civata — hafif seri</x:t>
  </x:si>
  <x:si>
    <x:t xml:space="preserve">ISO 4032</x:t>
  </x:si>
  <x:si>
    <x:t xml:space="preserve">Somun</x:t>
  </x:si>
  <x:si>
    <x:t xml:space="preserve">Altıgen somun — stil 1</x:t>
  </x:si>
  <x:si>
    <x:t xml:space="preserve">DIN 934 (≈)</x:t>
  </x:si>
  <x:si>
    <x:t xml:space="preserve">Normal yükseklik</x:t>
  </x:si>
  <x:si>
    <x:t xml:space="preserve">ISO 4033</x:t>
  </x:si>
  <x:si>
    <x:t xml:space="preserve">Altıgen somun — stil 2</x:t>
  </x:si>
  <x:si>
    <x:t xml:space="preserve">Yüksek somun</x:t>
  </x:si>
  <x:si>
    <x:t xml:space="preserve">ISO 4035</x:t>
  </x:si>
  <x:si>
    <x:t xml:space="preserve">Altıgen ince somun</x:t>
  </x:si>
  <x:si>
    <x:t xml:space="preserve">DIN 439</x:t>
  </x:si>
  <x:si>
    <x:t xml:space="preserve">Kontra somun</x:t>
  </x:si>
  <x:si>
    <x:t xml:space="preserve">ISO 7040</x:t>
  </x:si>
  <x:si>
    <x:t xml:space="preserve">Naylon halkalı kilitli somun</x:t>
  </x:si>
  <x:si>
    <x:t xml:space="preserve">DIN 985 (≈)</x:t>
  </x:si>
  <x:si>
    <x:t xml:space="preserve">Prevailing torque</x:t>
  </x:si>
  <x:si>
    <x:t xml:space="preserve">Kısmi (G1)</x:t>
  </x:si>
  <x:si>
    <x:t xml:space="preserve">ISO 7042</x:t>
  </x:si>
  <x:si>
    <x:t xml:space="preserve">Tüm metal kilitli somun</x:t>
  </x:si>
  <x:si>
    <x:t xml:space="preserve">DIN 980</x:t>
  </x:si>
  <x:si>
    <x:t xml:space="preserve">EN 1661</x:t>
  </x:si>
  <x:si>
    <x:t xml:space="preserve">Flanşlı altıgen somun</x:t>
  </x:si>
  <x:si>
    <x:t xml:space="preserve">ISO 7089</x:t>
  </x:si>
  <x:si>
    <x:t xml:space="preserve">Pul</x:t>
  </x:si>
  <x:si>
    <x:t xml:space="preserve">Düz pul — normal seri</x:t>
  </x:si>
  <x:si>
    <x:t xml:space="preserve">DIN 125-A</x:t>
  </x:si>
  <x:si>
    <x:t xml:space="preserve">200 HV</x:t>
  </x:si>
  <x:si>
    <x:t xml:space="preserve">ISO 7090</x:t>
  </x:si>
  <x:si>
    <x:t xml:space="preserve">Düz pul — pahlı, normal seri</x:t>
  </x:si>
  <x:si>
    <x:t xml:space="preserve">DIN 125-B</x:t>
  </x:si>
  <x:si>
    <x:t xml:space="preserve">200/300 HV</x:t>
  </x:si>
  <x:si>
    <x:t xml:space="preserve">ISO 7092</x:t>
  </x:si>
  <x:si>
    <x:t xml:space="preserve">Düz pul — küçük seri</x:t>
  </x:si>
  <x:si>
    <x:t xml:space="preserve">DIN 433</x:t>
  </x:si>
  <x:si>
    <x:t xml:space="preserve">Dar dış çap</x:t>
  </x:si>
  <x:si>
    <x:t xml:space="preserve">2</x:t>
  </x:si>
  <x:si>
    <x:t xml:space="preserve">ISO 7093-1</x:t>
  </x:si>
  <x:si>
    <x:t xml:space="preserve">Düz pul — geniş seri</x:t>
  </x:si>
  <x:si>
    <x:t xml:space="preserve">DIN 9021</x:t>
  </x:si>
  <x:si>
    <x:t xml:space="preserve">Geniş oturma</x:t>
  </x:si>
  <x:si>
    <x:t xml:space="preserve">DIN 6796</x:t>
  </x:si>
  <x:si>
    <x:t xml:space="preserve">Konik yaylı rondela</x:t>
  </x:si>
  <x:si>
    <x:t xml:space="preserve">Ön yük koruma</x:t>
  </x:si>
  <x:si>
    <x:t xml:space="preserve">ISO 4026</x:t>
  </x:si>
  <x:si>
    <x:t xml:space="preserve">Ayar vidası</x:t>
  </x:si>
  <x:si>
    <x:t xml:space="preserve">Düz uçlu ayar vidası</x:t>
  </x:si>
  <x:si>
    <x:t xml:space="preserve">DIN 913</x:t>
  </x:si>
  <x:si>
    <x:t xml:space="preserve">Alyan</x:t>
  </x:si>
  <x:si>
    <x:t xml:space="preserve">ISO 4027</x:t>
  </x:si>
  <x:si>
    <x:t xml:space="preserve">Sivri uçlu ayar vidası</x:t>
  </x:si>
  <x:si>
    <x:t xml:space="preserve">DIN 914</x:t>
  </x:si>
  <x:si>
    <x:t xml:space="preserve">ISO 4028</x:t>
  </x:si>
  <x:si>
    <x:t xml:space="preserve">Pim uçlu ayar vidası</x:t>
  </x:si>
  <x:si>
    <x:t xml:space="preserve">DIN 915</x:t>
  </x:si>
  <x:si>
    <x:t xml:space="preserve">ISO 4029</x:t>
  </x:si>
  <x:si>
    <x:t xml:space="preserve">Çukur uçlu ayar vidası</x:t>
  </x:si>
  <x:si>
    <x:t xml:space="preserve">DIN 916</x:t>
  </x:si>
  <x:si>
    <x:t xml:space="preserve">ISO 261</x:t>
  </x:si>
  <x:si>
    <x:t xml:space="preserve">Diş</x:t>
  </x:si>
  <x:si>
    <x:t xml:space="preserve">Metrik vida — genel plan</x:t>
  </x:si>
  <x:si>
    <x:t xml:space="preserve">Kaba/ince seriler</x:t>
  </x:si>
  <x:si>
    <x:t xml:space="preserve">Girildi (G3)</x:t>
  </x:si>
  <x:si>
    <x:t xml:space="preserve">ISO 262</x:t>
  </x:si>
  <x:si>
    <x:t xml:space="preserve">Metrik vida — seçilmiş seriler</x:t>
  </x:si>
  <x:si>
    <x:t xml:space="preserve">Tercih edilen ölçüler</x:t>
  </x:si>
  <x:si>
    <x:t xml:space="preserve">ISO 724</x:t>
  </x:si>
  <x:si>
    <x:t xml:space="preserve">Metrik vida — temel ölçüler</x:t>
  </x:si>
  <x:si>
    <x:t xml:space="preserve">d2, d3 formülleri</x:t>
  </x:si>
  <x:si>
    <x:t xml:space="preserve">Formül gömülü (G2)</x:t>
  </x:si>
  <x:si>
    <x:t xml:space="preserve">ISO 965</x:t>
  </x:si>
  <x:si>
    <x:t xml:space="preserve">Metrik vida toleransları</x:t>
  </x:si>
  <x:si>
    <x:t xml:space="preserve">6g/6H vb.</x:t>
  </x:si>
  <x:si>
    <x:t xml:space="preserve">ISO 888</x:t>
  </x:si>
  <x:si>
    <x:t xml:space="preserve">Boy ve diş boyu serileri</x:t>
  </x:si>
  <x:si>
    <x:t xml:space="preserve">b uzunlukları</x:t>
  </x:si>
  <x:si>
    <x:t xml:space="preserve">ISO 898-1</x:t>
  </x:si>
  <x:si>
    <x:t xml:space="preserve">Mekanik</x:t>
  </x:si>
  <x:si>
    <x:t xml:space="preserve">Civata/saplama mekanik özellikleri</x:t>
  </x:si>
  <x:si>
    <x:t xml:space="preserve">Rm, Rp0.2, sertlik</x:t>
  </x:si>
  <x:si>
    <x:t xml:space="preserve">ISO 898-2</x:t>
  </x:si>
  <x:si>
    <x:t xml:space="preserve">Somun mekanik özellikleri</x:t>
  </x:si>
  <x:si>
    <x:t xml:space="preserve">Proof load</x:t>
  </x:si>
  <x:si>
    <x:t xml:space="preserve">ISO 3506-1</x:t>
  </x:si>
  <x:si>
    <x:t xml:space="preserve">Paslanmaz civata özellikleri</x:t>
  </x:si>
  <x:si>
    <x:t xml:space="preserve">A2/A4 sınıfları</x:t>
  </x:si>
  <x:si>
    <x:t xml:space="preserve">ISO 4042</x:t>
  </x:si>
  <x:si>
    <x:t xml:space="preserve">Kaplama</x:t>
  </x:si>
  <x:si>
    <x:t xml:space="preserve">Elektrolitik kaplamalar</x:t>
  </x:si>
  <x:si>
    <x:t xml:space="preserve">Hidrojen gevrekliği notları</x:t>
  </x:si>
  <x:si>
    <x:t xml:space="preserve">Şema hazır</x:t>
  </x:si>
  <x:si>
    <x:t xml:space="preserve">ISO 10683</x:t>
  </x:si>
  <x:si>
    <x:t xml:space="preserve">Çinko lamel kaplamalar</x:t>
  </x:si>
  <x:si>
    <x:t xml:space="preserve">Geomet tipi</x:t>
  </x:si>
  <x:si>
    <x:t xml:space="preserve">ISO 10684</x:t>
  </x:si>
  <x:si>
    <x:t xml:space="preserve">Sıcak daldırma galvaniz</x:t>
  </x:si>
  <x:si>
    <x:t xml:space="preserve">Diş toleransı etkisi</x:t>
  </x:si>
  <x:si>
    <x:t xml:space="preserve">ISO 16047</x:t>
  </x:si>
  <x:si>
    <x:t xml:space="preserve">Test</x:t>
  </x:si>
  <x:si>
    <x:t xml:space="preserve">Tork/ön yük test yöntemi</x:t>
  </x:si>
  <x:si>
    <x:t xml:space="preserve">μ ölçümü</x:t>
  </x:si>
  <x:si>
    <x:t xml:space="preserve">METRİK DİŞ SERİSİ — ISO 261/262 + ISO 724 TÜRETİLMİŞ GEOMETRİ</x:t>
  </x:si>
  <x:si>
    <x:t xml:space="preserve">Dis_Kodu</x:t>
  </x:si>
  <x:si>
    <x:t xml:space="preserve">Seri</x:t>
  </x:si>
  <x:si>
    <x:t xml:space="preserve">Nominal d (mm)</x:t>
  </x:si>
  <x:si>
    <x:t xml:space="preserve">Hatve p (mm)</x:t>
  </x:si>
  <x:si>
    <x:t xml:space="preserve">d2 = d−0.6495p (mm)</x:t>
  </x:si>
  <x:si>
    <x:t xml:space="preserve">d3 = d−1.2269p (mm)</x:t>
  </x:si>
  <x:si>
    <x:t xml:space="preserve">As (mm²)</x:t>
  </x:si>
  <x:si>
    <x:t xml:space="preserve">As ISO 898-1 (mm²)</x:t>
  </x:si>
  <x:si>
    <x:t xml:space="preserve">Güven</x:t>
  </x:si>
  <x:si>
    <x:t xml:space="preserve">M3</x:t>
  </x:si>
  <x:si>
    <x:t xml:space="preserve">Kaba</x:t>
  </x:si>
  <x:si>
    <x:t xml:space="preserve">Formül G2; As ISO sütunu G3 — fark &lt;%1 beklenir</x:t>
  </x:si>
  <x:si>
    <x:t xml:space="preserve">M4</x:t>
  </x:si>
  <x:si>
    <x:t xml:space="preserve">M5</x:t>
  </x:si>
  <x:si>
    <x:t xml:space="preserve">M6</x:t>
  </x:si>
  <x:si>
    <x:t xml:space="preserve">M8</x:t>
  </x:si>
  <x:si>
    <x:t xml:space="preserve">M10</x:t>
  </x:si>
  <x:si>
    <x:t xml:space="preserve">M12</x:t>
  </x:si>
  <x:si>
    <x:t xml:space="preserve">M14</x:t>
  </x:si>
  <x:si>
    <x:t xml:space="preserve">M16</x:t>
  </x:si>
  <x:si>
    <x:t xml:space="preserve">M18</x:t>
  </x:si>
  <x:si>
    <x:t xml:space="preserve">M20</x:t>
  </x:si>
  <x:si>
    <x:t xml:space="preserve">M22</x:t>
  </x:si>
  <x:si>
    <x:t xml:space="preserve">M24</x:t>
  </x:si>
  <x:si>
    <x:t xml:space="preserve">M27</x:t>
  </x:si>
  <x:si>
    <x:t xml:space="preserve">M30</x:t>
  </x:si>
  <x:si>
    <x:t xml:space="preserve">M8x1</x:t>
  </x:si>
  <x:si>
    <x:t xml:space="preserve">İnce</x:t>
  </x:si>
  <x:si>
    <x:t xml:space="preserve">M10x1</x:t>
  </x:si>
  <x:si>
    <x:t xml:space="preserve">M10x1.25</x:t>
  </x:si>
  <x:si>
    <x:t xml:space="preserve">M12x1.25</x:t>
  </x:si>
  <x:si>
    <x:t xml:space="preserve">M12x1.5</x:t>
  </x:si>
  <x:si>
    <x:t xml:space="preserve">M14x1.5</x:t>
  </x:si>
  <x:si>
    <x:t xml:space="preserve">M16x1.5</x:t>
  </x:si>
  <x:si>
    <x:t xml:space="preserve">M18x1.5</x:t>
  </x:si>
  <x:si>
    <x:t xml:space="preserve">M20x1.5</x:t>
  </x:si>
  <x:si>
    <x:t xml:space="preserve">M22x1.5</x:t>
  </x:si>
  <x:si>
    <x:t xml:space="preserve">M24x2</x:t>
  </x:si>
  <x:si>
    <x:t xml:space="preserve">MEKANİK ÖZELLİKLER — ISO 898-1 / ISO 3506</x:t>
  </x:si>
  <x:si>
    <x:t xml:space="preserve">Sinif_Kodu</x:t>
  </x:si>
  <x:si>
    <x:t xml:space="preserve">Tip</x:t>
  </x:si>
  <x:si>
    <x:t xml:space="preserve">Rm nom (MPa)</x:t>
  </x:si>
  <x:si>
    <x:t xml:space="preserve">Rm min (MPa)</x:t>
  </x:si>
  <x:si>
    <x:t xml:space="preserve">Rp0.2 nom (MPa)</x:t>
  </x:si>
  <x:si>
    <x:t xml:space="preserve">Rp0.2 min (MPa)</x:t>
  </x:si>
  <x:si>
    <x:t xml:space="preserve">Sertlik (HV)</x:t>
  </x:si>
  <x:si>
    <x:t xml:space="preserve">Kapsam</x:t>
  </x:si>
  <x:si>
    <x:t xml:space="preserve">4.6</x:t>
  </x:si>
  <x:si>
    <x:t xml:space="preserve">120–220</x:t>
  </x:si>
  <x:si>
    <x:t xml:space="preserve">≤M39</x:t>
  </x:si>
  <x:si>
    <x:t xml:space="preserve">Nominal=min bu sınıfta</x:t>
  </x:si>
  <x:si>
    <x:t xml:space="preserve">4.8</x:t>
  </x:si>
  <x:si>
    <x:t xml:space="preserve">130–220</x:t>
  </x:si>
  <x:si>
    <x:t xml:space="preserve">≤M16</x:t>
  </x:si>
  <x:si>
    <x:t xml:space="preserve">5.6</x:t>
  </x:si>
  <x:si>
    <x:t xml:space="preserve">155–220</x:t>
  </x:si>
  <x:si>
    <x:t xml:space="preserve">5.8</x:t>
  </x:si>
  <x:si>
    <x:t xml:space="preserve">160–220</x:t>
  </x:si>
  <x:si>
    <x:t xml:space="preserve">≤M24</x:t>
  </x:si>
  <x:si>
    <x:t xml:space="preserve">6.8</x:t>
  </x:si>
  <x:si>
    <x:t xml:space="preserve">190–250</x:t>
  </x:si>
  <x:si>
    <x:t xml:space="preserve">8.8</x:t>
  </x:si>
  <x:si>
    <x:t xml:space="preserve">250–320</x:t>
  </x:si>
  <x:si>
    <x:t xml:space="preserve">&gt;M16: Rm min 830 / Rp 660</x:t>
  </x:si>
  <x:si>
    <x:t xml:space="preserve">8.8&gt;M16</x:t>
  </x:si>
  <x:si>
    <x:t xml:space="preserve">255–335</x:t>
  </x:si>
  <x:si>
    <x:t xml:space="preserve">&gt;M16</x:t>
  </x:si>
  <x:si>
    <x:t xml:space="preserve">Ayrı satır: boyut etkisi</x:t>
  </x:si>
  <x:si>
    <x:t xml:space="preserve">9.8</x:t>
  </x:si>
  <x:si>
    <x:t xml:space="preserve">290–360</x:t>
  </x:si>
  <x:si>
    <x:t xml:space="preserve">10.9</x:t>
  </x:si>
  <x:si>
    <x:t xml:space="preserve">320–380</x:t>
  </x:si>
  <x:si>
    <x:t xml:space="preserve">12.9</x:t>
  </x:si>
  <x:si>
    <x:t xml:space="preserve">385–435</x:t>
  </x:si>
  <x:si>
    <x:t xml:space="preserve">Hidrojen gevrekliği riski yüksek</x:t>
  </x:si>
  <x:si>
    <x:t xml:space="preserve">A2-70</x:t>
  </x:si>
  <x:si>
    <x:t xml:space="preserve">Paslanmaz</x:t>
  </x:si>
  <x:si>
    <x:t xml:space="preserve">≤M20</x:t>
  </x:si>
  <x:si>
    <x:t xml:space="preserve">A4-80</x:t>
  </x:si>
  <x:si>
    <x:t xml:space="preserve">Somun 8</x:t>
  </x:si>
  <x:si>
    <x:t xml:space="preserve">Somun 10</x:t>
  </x:si>
  <x:si>
    <x:t xml:space="preserve">CİVATA GEOMETRİSİ — STANDART BAZLI (boydan bağımsız baş ölçüleri)</x:t>
  </x:si>
  <x:si>
    <x:t xml:space="preserve">Kayit_ID</x:t>
  </x:si>
  <x:si>
    <x:t xml:space="preserve">Anahtar Ağzı s (mm)</x:t>
  </x:si>
  <x:si>
    <x:t xml:space="preserve">Baş Çapı dk (mm)</x:t>
  </x:si>
  <x:si>
    <x:t xml:space="preserve">Baş Yük. k (mm)</x:t>
  </x:si>
  <x:si>
    <x:t xml:space="preserve">Tahrik</x:t>
  </x:si>
  <x:si>
    <x:t xml:space="preserve">Tahrik Ölçüsü</x:t>
  </x:si>
  <x:si>
    <x:t xml:space="preserve">Etkin Oturma dw min (mm)</x:t>
  </x:si>
  <x:si>
    <x:t xml:space="preserve">Doğrulayan</x:t>
  </x:si>
  <x:si>
    <x:t xml:space="preserve">Doğr. Tarihi</x:t>
  </x:si>
  <x:si>
    <x:t xml:space="preserve">BG-0001</x:t>
  </x:si>
  <x:si>
    <x:t xml:space="preserve">Dıştan altıgen</x:t>
  </x:si>
  <x:si>
    <x:t xml:space="preserve">DIN 933 farkı: M10 s=17, M12 s=19, M14 s=22</x:t>
  </x:si>
  <x:si>
    <x:t xml:space="preserve">BG-0002</x:t>
  </x:si>
  <x:si>
    <x:t xml:space="preserve">BG-0003</x:t>
  </x:si>
  <x:si>
    <x:t xml:space="preserve">BG-0004</x:t>
  </x:si>
  <x:si>
    <x:t xml:space="preserve">BG-0005</x:t>
  </x:si>
  <x:si>
    <x:t xml:space="preserve">BG-0006</x:t>
  </x:si>
  <x:si>
    <x:t xml:space="preserve">BG-0007</x:t>
  </x:si>
  <x:si>
    <x:t xml:space="preserve">BG-0008</x:t>
  </x:si>
  <x:si>
    <x:t xml:space="preserve">BG-0009</x:t>
  </x:si>
  <x:si>
    <x:t xml:space="preserve">BG-0010</x:t>
  </x:si>
  <x:si>
    <x:t xml:space="preserve">Kısmi diş; b boyu ISO 888 ile girilecek</x:t>
  </x:si>
  <x:si>
    <x:t xml:space="preserve">BG-0011</x:t>
  </x:si>
  <x:si>
    <x:t xml:space="preserve">BG-0012</x:t>
  </x:si>
  <x:si>
    <x:t xml:space="preserve">BG-0013</x:t>
  </x:si>
  <x:si>
    <x:t xml:space="preserve">BG-0014</x:t>
  </x:si>
  <x:si>
    <x:t xml:space="preserve">BG-0015</x:t>
  </x:si>
  <x:si>
    <x:t xml:space="preserve">BG-0016</x:t>
  </x:si>
  <x:si>
    <x:t xml:space="preserve">BG-0017</x:t>
  </x:si>
  <x:si>
    <x:t xml:space="preserve">BG-0018</x:t>
  </x:si>
  <x:si>
    <x:t xml:space="preserve">BG-0019</x:t>
  </x:si>
  <x:si>
    <x:t xml:space="preserve">İç altıgen (alyan)</x:t>
  </x:si>
  <x:si>
    <x:t xml:space="preserve">dw katalogdan doğrulanacak</x:t>
  </x:si>
  <x:si>
    <x:t xml:space="preserve">BG-0020</x:t>
  </x:si>
  <x:si>
    <x:t xml:space="preserve">BG-0021</x:t>
  </x:si>
  <x:si>
    <x:t xml:space="preserve">BG-0022</x:t>
  </x:si>
  <x:si>
    <x:t xml:space="preserve">BG-0023</x:t>
  </x:si>
  <x:si>
    <x:t xml:space="preserve">BG-0024</x:t>
  </x:si>
  <x:si>
    <x:t xml:space="preserve">BG-0025</x:t>
  </x:si>
  <x:si>
    <x:t xml:space="preserve">BG-0026</x:t>
  </x:si>
  <x:si>
    <x:t xml:space="preserve">BG-0027</x:t>
  </x:si>
  <x:si>
    <x:t xml:space="preserve">SOMUN GEOMETRİSİ — STANDART BAZLI</x:t>
  </x:si>
  <x:si>
    <x:t xml:space="preserve">Yükseklik m (mm)</x:t>
  </x:si>
  <x:si>
    <x:t xml:space="preserve">Kilit Tipi</x:t>
  </x:si>
  <x:si>
    <x:t xml:space="preserve">Flanş Çapı dc (mm)</x:t>
  </x:si>
  <x:si>
    <x:t xml:space="preserve">NG-0001</x:t>
  </x:si>
  <x:si>
    <x:t xml:space="preserve">Kilitsiz</x:t>
  </x:si>
  <x:si>
    <x:t xml:space="preserve">Stil 1</x:t>
  </x:si>
  <x:si>
    <x:t xml:space="preserve">NG-0002</x:t>
  </x:si>
  <x:si>
    <x:t xml:space="preserve">NG-0003</x:t>
  </x:si>
  <x:si>
    <x:t xml:space="preserve">NG-0004</x:t>
  </x:si>
  <x:si>
    <x:t xml:space="preserve">NG-0005</x:t>
  </x:si>
  <x:si>
    <x:t xml:space="preserve">NG-0006</x:t>
  </x:si>
  <x:si>
    <x:t xml:space="preserve">NG-0007</x:t>
  </x:si>
  <x:si>
    <x:t xml:space="preserve">NG-0008</x:t>
  </x:si>
  <x:si>
    <x:t xml:space="preserve">NG-0009</x:t>
  </x:si>
  <x:si>
    <x:t xml:space="preserve">NG-0010</x:t>
  </x:si>
  <x:si>
    <x:t xml:space="preserve">Kilitsiz (kontra)</x:t>
  </x:si>
  <x:si>
    <x:t xml:space="preserve">İnce somun</x:t>
  </x:si>
  <x:si>
    <x:t xml:space="preserve">NG-0011</x:t>
  </x:si>
  <x:si>
    <x:t xml:space="preserve">NG-0012</x:t>
  </x:si>
  <x:si>
    <x:t xml:space="preserve">NG-0013</x:t>
  </x:si>
  <x:si>
    <x:t xml:space="preserve">NG-0014</x:t>
  </x:si>
  <x:si>
    <x:t xml:space="preserve">NG-0015</x:t>
  </x:si>
  <x:si>
    <x:t xml:space="preserve">NG-0016</x:t>
  </x:si>
  <x:si>
    <x:t xml:space="preserve">NG-0017</x:t>
  </x:si>
  <x:si>
    <x:t xml:space="preserve">NG-0018</x:t>
  </x:si>
  <x:si>
    <x:t xml:space="preserve">Naylon halka</x:t>
  </x:si>
  <x:si>
    <x:t xml:space="preserve">NG-0019</x:t>
  </x:si>
  <x:si>
    <x:t xml:space="preserve">NG-0020</x:t>
  </x:si>
  <x:si>
    <x:t xml:space="preserve">NG-0021</x:t>
  </x:si>
  <x:si>
    <x:t xml:space="preserve">PUL GEOMETRİSİ — STANDART BAZLI</x:t>
  </x:si>
  <x:si>
    <x:t xml:space="preserve">İç Çap d1 (mm)</x:t>
  </x:si>
  <x:si>
    <x:t xml:space="preserve">Dış Çap d2 (mm)</x:t>
  </x:si>
  <x:si>
    <x:t xml:space="preserve">Kalınlık h (mm)</x:t>
  </x:si>
  <x:si>
    <x:t xml:space="preserve">Sertlik</x:t>
  </x:si>
  <x:si>
    <x:t xml:space="preserve">WG-0001</x:t>
  </x:si>
  <x:si>
    <x:t xml:space="preserve">Normal seri</x:t>
  </x:si>
  <x:si>
    <x:t xml:space="preserve">WG-0002</x:t>
  </x:si>
  <x:si>
    <x:t xml:space="preserve">WG-0003</x:t>
  </x:si>
  <x:si>
    <x:t xml:space="preserve">WG-0004</x:t>
  </x:si>
  <x:si>
    <x:t xml:space="preserve">WG-0005</x:t>
  </x:si>
  <x:si>
    <x:t xml:space="preserve">WG-0006</x:t>
  </x:si>
  <x:si>
    <x:t xml:space="preserve">WG-0007</x:t>
  </x:si>
  <x:si>
    <x:t xml:space="preserve">WG-0008</x:t>
  </x:si>
  <x:si>
    <x:t xml:space="preserve">WG-0009</x:t>
  </x:si>
  <x:si>
    <x:t xml:space="preserve">WG-0010</x:t>
  </x:si>
  <x:si>
    <x:t xml:space="preserve">Pahlı; 10.9+ için 300 HV seçilmeli</x:t>
  </x:si>
  <x:si>
    <x:t xml:space="preserve">WG-0011</x:t>
  </x:si>
  <x:si>
    <x:t xml:space="preserve">WG-0012</x:t>
  </x:si>
  <x:si>
    <x:t xml:space="preserve">WG-0013</x:t>
  </x:si>
  <x:si>
    <x:t xml:space="preserve">WG-0014</x:t>
  </x:si>
  <x:si>
    <x:t xml:space="preserve">WG-0015</x:t>
  </x:si>
  <x:si>
    <x:t xml:space="preserve">WG-0016</x:t>
  </x:si>
  <x:si>
    <x:t xml:space="preserve">WG-0017</x:t>
  </x:si>
  <x:si>
    <x:t xml:space="preserve">WG-0018</x:t>
  </x:si>
  <x:si>
    <x:t xml:space="preserve">WG-0019</x:t>
  </x:si>
  <x:si>
    <x:t xml:space="preserve">Geniş seri — yumuşak yüzeylerde</x:t>
  </x:si>
  <x:si>
    <x:t xml:space="preserve">WG-0020</x:t>
  </x:si>
  <x:si>
    <x:t xml:space="preserve">WG-0021</x:t>
  </x:si>
  <x:si>
    <x:t xml:space="preserve">WG-0022</x:t>
  </x:si>
  <x:si>
    <x:t xml:space="preserve">WG-0023</x:t>
  </x:si>
  <x:si>
    <x:t xml:space="preserve">KAPLAMA VE SÜRTÜNME KAYITLARI — μthread / μbearing / μtotal AYRIMLI</x:t>
  </x:si>
  <x:si>
    <x:t xml:space="preserve">Kaplama Sistemi</x:t>
  </x:si>
  <x:si>
    <x:t xml:space="preserve">Kaplama Standardı</x:t>
  </x:si>
  <x:si>
    <x:t xml:space="preserve">Topcoat/Yağlayıcı</x:t>
  </x:si>
  <x:si>
    <x:t xml:space="preserve">Üretici</x:t>
  </x:si>
  <x:si>
    <x:t xml:space="preserve">Test Standardı</x:t>
  </x:si>
  <x:si>
    <x:t xml:space="preserve">μ_thread min</x:t>
  </x:si>
  <x:si>
    <x:t xml:space="preserve">μ_thread max</x:t>
  </x:si>
  <x:si>
    <x:t xml:space="preserve">μ_bearing min</x:t>
  </x:si>
  <x:si>
    <x:t xml:space="preserve">μ_bearing max</x:t>
  </x:si>
  <x:si>
    <x:t xml:space="preserve">μ_total min</x:t>
  </x:si>
  <x:si>
    <x:t xml:space="preserve">μ_total max</x:t>
  </x:si>
  <x:si>
    <x:t xml:space="preserve">Parti/Test Ref</x:t>
  </x:si>
  <x:si>
    <x:t xml:space="preserve">Uygun Sınıflar</x:t>
  </x:si>
  <x:si>
    <x:t xml:space="preserve">COAT-001</x:t>
  </x:si>
  <x:si>
    <x:t xml:space="preserve">Elektrolitik çinko</x:t>
  </x:si>
  <x:si>
    <x:t xml:space="preserve">Kontrollü topcoat</x:t>
  </x:si>
  <x:si>
    <x:t xml:space="preserve">4.6–10.9</x:t>
  </x:si>
  <x:si>
    <x:t xml:space="preserve">μ ayrımı test raporuyla doldurulacak — SARI</x:t>
  </x:si>
  <x:si>
    <x:t xml:space="preserve">COAT-002</x:t>
  </x:si>
  <x:si>
    <x:t xml:space="preserve">Çinko-nikel</x:t>
  </x:si>
  <x:si>
    <x:t xml:space="preserve">8.8–12.9</x:t>
  </x:si>
  <x:si>
    <x:t xml:space="preserve">Aynı kaplama farklı topcoat = farklı μ</x:t>
  </x:si>
  <x:si>
    <x:t xml:space="preserve">COAT-003</x:t>
  </x:si>
  <x:si>
    <x:t xml:space="preserve">Çinko lamel (Geomet tipi)</x:t>
  </x:si>
  <x:si>
    <x:t xml:space="preserve">Topcoat opsiyonel</x:t>
  </x:si>
  <x:si>
    <x:t xml:space="preserve">Hidrojen gevrekliği riski yok</x:t>
  </x:si>
  <x:si>
    <x:t xml:space="preserve">COAT-004</x:t>
  </x:si>
  <x:si>
    <x:t xml:space="preserve">Siyah oksit</x:t>
  </x:si>
  <x:si>
    <x:t xml:space="preserve">Yağlı</x:t>
  </x:si>
  <x:si>
    <x:t xml:space="preserve">4.6–12.9</x:t>
  </x:si>
  <x:si>
    <x:t xml:space="preserve">Korozyon koruması düşük</x:t>
  </x:si>
  <x:si>
    <x:t xml:space="preserve">COAT-005</x:t>
  </x:si>
  <x:si>
    <x:t xml:space="preserve">Kaplamasız çelik</x:t>
  </x:si>
  <x:si>
    <x:t xml:space="preserve">Yağlı/kuru</x:t>
  </x:si>
  <x:si>
    <x:t xml:space="preserve">Tümü</x:t>
  </x:si>
  <x:si>
    <x:t xml:space="preserve">Test verisi olmadan kullanılmamalı</x:t>
  </x:si>
  <x:si>
    <x:t xml:space="preserve">COAT-006</x:t>
  </x:si>
  <x:si>
    <x:t xml:space="preserve">Paslanmaz doğal</x:t>
  </x:si>
  <x:si>
    <x:t xml:space="preserve">Montaj pastası ops.</x:t>
  </x:si>
  <x:si>
    <x:t xml:space="preserve">A2/A4</x:t>
  </x:si>
  <x:si>
    <x:t xml:space="preserve">Yenme (galling) riski — pasta önerilir</x:t>
  </x:si>
  <x:si>
    <x:t xml:space="preserve">MALZEME → KULLANIM UYGUNLUĞU (Kaynak: katalog s.89 tipi tablolar)</x:t>
  </x:si>
  <x:si>
    <x:t xml:space="preserve">Malzeme Grubu</x:t>
  </x:si>
  <x:si>
    <x:t xml:space="preserve">Malzeme Kodu/Standart</x:t>
  </x:si>
  <x:si>
    <x:t xml:space="preserve">Genel Kullanım</x:t>
  </x:si>
  <x:si>
    <x:t xml:space="preserve">Isıya Dayanım</x:t>
  </x:si>
  <x:si>
    <x:t xml:space="preserve">Mukavemetli Bağlantı</x:t>
  </x:si>
  <x:si>
    <x:t xml:space="preserve">Korozyon Dayanımı</x:t>
  </x:si>
  <x:si>
    <x:t xml:space="preserve">Açıklama</x:t>
  </x:si>
  <x:si>
    <x:t xml:space="preserve">MAT-001</x:t>
  </x:si>
  <x:si>
    <x:t xml:space="preserve">Karbon çeliği</x:t>
  </x:si>
  <x:si>
    <x:t xml:space="preserve">ör. C1010/1022</x:t>
  </x:si>
  <x:si>
    <x:t xml:space="preserve">Evet</x:t>
  </x:si>
  <x:si>
    <x:t xml:space="preserve">Hayır</x:t>
  </x:si>
  <x:si>
    <x:t xml:space="preserve">Hayır (kaplama şart)</x:t>
  </x:si>
  <x:si>
    <x:t xml:space="preserve">Genel amaçlı; 4.6–6.8 sınıfları</x:t>
  </x:si>
  <x:si>
    <x:t xml:space="preserve">MAT-002</x:t>
  </x:si>
  <x:si>
    <x:t xml:space="preserve">Islah çeliği</x:t>
  </x:si>
  <x:si>
    <x:t xml:space="preserve">ör. C1035/1045</x:t>
  </x:si>
  <x:si>
    <x:t xml:space="preserve">Kısmi</x:t>
  </x:si>
  <x:si>
    <x:t xml:space="preserve">Evet (8.8)</x:t>
  </x:si>
  <x:si>
    <x:t xml:space="preserve">Islah ile 8.8 sınıfı</x:t>
  </x:si>
  <x:si>
    <x:t xml:space="preserve">MAT-003</x:t>
  </x:si>
  <x:si>
    <x:t xml:space="preserve">Alaşımlı çelik</x:t>
  </x:si>
  <x:si>
    <x:t xml:space="preserve">ör. 42CrMo4</x:t>
  </x:si>
  <x:si>
    <x:t xml:space="preserve">Evet (10.9/12.9)</x:t>
  </x:si>
  <x:si>
    <x:t xml:space="preserve">Yüksek mukavemet; ısıl işlem zorunlu</x:t>
  </x:si>
  <x:si>
    <x:t xml:space="preserve">MAT-004</x:t>
  </x:si>
  <x:si>
    <x:t xml:space="preserve">Östenitik paslanmaz</x:t>
  </x:si>
  <x:si>
    <x:t xml:space="preserve">A2 (304 tipi)</x:t>
  </x:si>
  <x:si>
    <x:t xml:space="preserve">Gıda/genel korozyon; A2-70</x:t>
  </x:si>
  <x:si>
    <x:t xml:space="preserve">MAT-005</x:t>
  </x:si>
  <x:si>
    <x:t xml:space="preserve">A4 (316 tipi)</x:t>
  </x:si>
  <x:si>
    <x:t xml:space="preserve">Evet (klorür dahil)</x:t>
  </x:si>
  <x:si>
    <x:t xml:space="preserve">Deniz/kimya ortamı; A4-80</x:t>
  </x:si>
  <x:si>
    <x:t xml:space="preserve">MAT-006</x:t>
  </x:si>
  <x:si>
    <x:t xml:space="preserve">Alüminyum alaşım</x:t>
  </x:si>
  <x:si>
    <x:t xml:space="preserve">Evet (kendine)</x:t>
  </x:si>
  <x:si>
    <x:t xml:space="preserve">Hafiflik; galvanik çift riski</x:t>
  </x:si>
  <x:si>
    <x:t xml:space="preserve">CİVATA–SOMUN–PUL UYUMLULUK KURALLARI (TorqPro uyumluluk motoru girdisi)</x:t>
  </x:si>
  <x:si>
    <x:t xml:space="preserve">Kural_ID</x:t>
  </x:si>
  <x:si>
    <x:t xml:space="preserve">Kural Tipi</x:t>
  </x:si>
  <x:si>
    <x:t xml:space="preserve">Koşul</x:t>
  </x:si>
  <x:si>
    <x:t xml:space="preserve">Gereklilik</x:t>
  </x:si>
  <x:si>
    <x:t xml:space="preserve">Gerekçe</x:t>
  </x:si>
  <x:si>
    <x:t xml:space="preserve">R-001</x:t>
  </x:si>
  <x:si>
    <x:t xml:space="preserve">Civata-somun sınıf</x:t>
  </x:si>
  <x:si>
    <x:t xml:space="preserve">Civata 8.8</x:t>
  </x:si>
  <x:si>
    <x:t xml:space="preserve">Somun sınıf ≥ 8</x:t>
  </x:si>
  <x:si>
    <x:t xml:space="preserve">Somun proof load ≥ civata Rm; sıyırma somunda olmamalı</x:t>
  </x:si>
  <x:si>
    <x:t xml:space="preserve">R-002</x:t>
  </x:si>
  <x:si>
    <x:t xml:space="preserve">Civata 10.9</x:t>
  </x:si>
  <x:si>
    <x:t xml:space="preserve">Somun sınıf ≥ 10</x:t>
  </x:si>
  <x:si>
    <x:t xml:space="preserve">Aynı ilke</x:t>
  </x:si>
  <x:si>
    <x:t xml:space="preserve">R-003</x:t>
  </x:si>
  <x:si>
    <x:t xml:space="preserve">Civata 12.9</x:t>
  </x:si>
  <x:si>
    <x:t xml:space="preserve">Somun sınıf ≥ 12</x:t>
  </x:si>
  <x:si>
    <x:t xml:space="preserve">R-004</x:t>
  </x:si>
  <x:si>
    <x:t xml:space="preserve">Pul sertliği</x:t>
  </x:si>
  <x:si>
    <x:t xml:space="preserve">Civata ≤ 8.8</x:t>
  </x:si>
  <x:si>
    <x:t xml:space="preserve">Pul ≥ 200 HV</x:t>
  </x:si>
  <x:si>
    <x:t xml:space="preserve">Baş altı gömülme (embedding) sınırlaması</x:t>
  </x:si>
  <x:si>
    <x:t xml:space="preserve">R-005</x:t>
  </x:si>
  <x:si>
    <x:t xml:space="preserve">Civata 10.9 / 12.9</x:t>
  </x:si>
  <x:si>
    <x:t xml:space="preserve">Pul ≥ 300 HV (ISO 7090 300HV)</x:t>
  </x:si>
  <x:si>
    <x:t xml:space="preserve">Yumuşak pul ön yük kaybına yol açar</x:t>
  </x:si>
  <x:si>
    <x:t xml:space="preserve">R-006</x:t>
  </x:si>
  <x:si>
    <x:t xml:space="preserve">Diş kavrama</x:t>
  </x:si>
  <x:si>
    <x:t xml:space="preserve">Çelik iç diş</x:t>
  </x:si>
  <x:si>
    <x:t xml:space="preserve">Kavrama boyu ≥ 0.8×d</x:t>
  </x:si>
  <x:si>
    <x:t xml:space="preserve">İç diş sıyırma önlemi (yaklaşık kural)</x:t>
  </x:si>
  <x:si>
    <x:t xml:space="preserve">R-007</x:t>
  </x:si>
  <x:si>
    <x:t xml:space="preserve">Alüminyum iç diş</x:t>
  </x:si>
  <x:si>
    <x:t xml:space="preserve">Kavrama boyu ≥ 1.5×d (tercihen 2×d)</x:t>
  </x:si>
  <x:si>
    <x:t xml:space="preserve">Düşük kayma dayanımı</x:t>
  </x:si>
  <x:si>
    <x:t xml:space="preserve">R-008</x:t>
  </x:si>
  <x:si>
    <x:t xml:space="preserve">Bearing pressure</x:t>
  </x:si>
  <x:si>
    <x:t xml:space="preserve">Tüm bağlantılar</x:t>
  </x:si>
  <x:si>
    <x:t xml:space="preserve">p = Fmax/Ap ≤ malzeme sınır basıncı</x:t>
  </x:si>
  <x:si>
    <x:t xml:space="preserve">Yüzey ezilmesi ön yük kaybı yaratır; sınır değer tablosu Faz sonrası eklenecek</x:t>
  </x:si>
  <x:si>
    <x:t xml:space="preserve">DOĞRULAMA GÜNLÜĞÜ</x:t>
  </x:si>
  <x:si>
    <x:t xml:space="preserve">Log_ID</x:t>
  </x:si>
  <x:si>
    <x:t xml:space="preserve">Tarih</x:t>
  </x:si>
  <x:si>
    <x:t xml:space="preserve">Tablo</x:t>
  </x:si>
  <x:si>
    <x:t xml:space="preserve">Satır Aralığı</x:t>
  </x:si>
  <x:si>
    <x:t xml:space="preserve">İşlem</x:t>
  </x:si>
  <x:si>
    <x:t xml:space="preserve">Yeni Güven</x:t>
  </x:si>
  <x:si>
    <x:t xml:space="preserve">LOG-001</x:t>
  </x:si>
  <x:si>
    <x:t xml:space="preserve">2026-07-11</x:t>
  </x:si>
  <x:si>
    <x:t xml:space="preserve">İ. Çekiç (giriş)</x:t>
  </x:si>
  <x:si>
    <x:t xml:space="preserve">İlk giriş — formülle türetme</x:t>
  </x:si>
  <x:si>
    <x:t xml:space="preserve">ISO 724 formülleri; As ISO sütunu ile çapraz kontrol edilmeli</x:t>
  </x:si>
  <x:si>
    <x:t xml:space="preserve">LOG-002</x:t>
  </x:si>
  <x:si>
    <x:t xml:space="preserve">1–12</x:t>
  </x:si>
  <x:si>
    <x:t xml:space="preserve">Standart tablodan giriş</x:t>
  </x:si>
  <x:si>
    <x:t xml:space="preserve">3</x:t>
  </x:si>
  <x:si>
    <x:t xml:space="preserve">Resmî ISO 898-1 dokümanı ile 2. kontrol bekliyor</x:t>
  </x:si>
  <x:si>
    <x:t xml:space="preserve">LOG-003</x:t>
  </x:si>
  <x:si>
    <x:t xml:space="preserve">ÖRNEK: doğrulama yapınca yeni satır ekleyin ve ilgili tabloda Güven→4 yapın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</x:si>
</x:sst>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0.0"/>
  </x:numFmts>
  <x:fonts count="12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3864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7F7F7F"/>
      <x:name val="Arial"/>
    </x:font>
    <x:font>
      <x:b/>
      <x:sz val="15"/>
      <x:color rgb="FFFFFFF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C6E0B4"/>
      </x:patternFill>
    </x:fill>
    <x:fill>
      <x:patternFill patternType="solid">
        <x:fgColor rgb="FF9BC2E6"/>
      </x:patternFill>
    </x:fill>
    <x:fill>
      <x:patternFill patternType="solid">
        <x:fgColor rgb="FF1F3864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1"/>
    </x:xf>
    <x:xf numFmtId="164" fontId="6" fillId="0" borderId="0" xfId="0" applyFont="1" applyBorder="0" applyAlignment="0">
      <x:alignment horizontal="general" vertical="bottom" wrapText="0"/>
    </x:xf>
    <x:xf numFmtId="164" fontId="6" fillId="2" borderId="0" xfId="0" applyFont="1" applyBorder="0" applyAlignment="0">
      <x:alignment horizontal="general" vertical="bottom" wrapText="0"/>
    </x:xf>
    <x:xf numFmtId="164" fontId="6" fillId="3" borderId="0" xfId="0" applyFont="1" applyBorder="0" applyAlignment="0">
      <x:alignment horizontal="general" vertical="bottom" wrapText="0"/>
    </x:xf>
    <x:xf numFmtId="164" fontId="6" fillId="4" borderId="0" xfId="0" applyFont="1" applyBorder="0" applyAlignment="0">
      <x:alignment horizontal="general" vertical="bottom" wrapText="0"/>
    </x:xf>
    <x:xf numFmtId="164" fontId="6" fillId="5" borderId="0" xfId="0" applyFont="1" applyBorder="0" applyAlignment="0">
      <x:alignment horizontal="general" vertical="bottom" wrapText="0"/>
    </x:xf>
    <x:xf numFmtId="164" fontId="7" fillId="6" borderId="1" xfId="0" applyFont="1" applyBorder="1" applyAlignment="1">
      <x:alignment horizontal="general" vertical="center" wrapText="1"/>
    </x:xf>
    <x:xf numFmtId="164" fontId="8" fillId="0" borderId="1" xfId="0" applyFont="1" applyBorder="1" applyAlignment="0">
      <x:alignment horizontal="general" vertical="bottom" wrapText="0"/>
    </x:xf>
    <x:xf numFmtId="165" fontId="5" fillId="0" borderId="1" xfId="0" applyFont="1" applyBorder="1" applyAlignment="0">
      <x:alignment horizontal="general" vertical="bottom" wrapText="0"/>
    </x:xf>
    <x:xf numFmtId="164" fontId="0" fillId="3" borderId="1" xfId="0" applyFont="0" applyBorder="1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8" fillId="7" borderId="1" xfId="0" applyFont="1" applyBorder="1" applyAlignment="0">
      <x:alignment horizontal="general" vertical="bottom" wrapText="0"/>
    </x:xf>
    <x:xf numFmtId="164" fontId="8" fillId="2" borderId="1" xfId="0" applyFont="1" applyBorder="1" applyAlignment="0">
      <x:alignment horizontal="general" vertical="bottom" wrapText="0"/>
    </x:xf>
    <x:xf numFmtId="164" fontId="8" fillId="3" borderId="1" xfId="0" applyFont="1" applyBorder="1" applyAlignment="0">
      <x:alignment horizontal="general" vertical="bottom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1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6" fillId="2" borderId="2" xfId="0" applyNumberFormat="1" applyFont="1" applyFill="1" applyBorder="1" applyAlignment="1">
      <x:alignment horizontal="general" vertical="bottom" wrapText="0"/>
    </x:xf>
    <x:xf numFmtId="164" fontId="6" fillId="3" borderId="2" xfId="0" applyNumberFormat="1" applyFont="1" applyFill="1" applyBorder="1" applyAlignment="1">
      <x:alignment horizontal="general" vertical="bottom" wrapText="0"/>
    </x:xf>
    <x:xf numFmtId="164" fontId="6" fillId="4" borderId="2" xfId="0" applyNumberFormat="1" applyFont="1" applyFill="1" applyBorder="1" applyAlignment="1">
      <x:alignment horizontal="general" vertical="bottom" wrapText="0"/>
    </x:xf>
    <x:xf numFmtId="164" fontId="6" fillId="5" borderId="2" xfId="0" applyNumberFormat="1" applyFont="1" applyFill="1" applyBorder="1" applyAlignment="1">
      <x:alignment horizontal="general" vertical="bottom" wrapText="0"/>
    </x:xf>
    <x:xf numFmtId="164" fontId="7" fillId="6" borderId="3" xfId="0" applyNumberFormat="1" applyFont="1" applyFill="1" applyBorder="1" applyAlignment="1">
      <x:alignment horizontal="general" vertical="center" wrapText="1"/>
    </x:xf>
    <x:xf numFmtId="164" fontId="8" fillId="0" borderId="3" xfId="0" applyNumberFormat="1" applyFont="1" applyFill="1" applyBorder="1" applyAlignment="1">
      <x:alignment horizontal="general" vertical="bottom" wrapText="0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8" fillId="4" borderId="3" xfId="0" applyNumberFormat="1" applyFont="1" applyFill="1" applyBorder="1" applyAlignment="1">
      <x:alignment horizontal="general" vertical="bottom" wrapText="0"/>
    </x:xf>
    <x:xf numFmtId="164" fontId="8" fillId="7" borderId="3" xfId="0" applyNumberFormat="1" applyFont="1" applyFill="1" applyBorder="1" applyAlignment="1">
      <x:alignment horizontal="general" vertical="bottom" wrapText="0"/>
    </x:xf>
    <x:xf numFmtId="164" fontId="8" fillId="2" borderId="3" xfId="0" applyNumberFormat="1" applyFont="1" applyFill="1" applyBorder="1" applyAlignment="1">
      <x:alignment horizontal="general" vertical="bottom" wrapText="0"/>
    </x:xf>
    <x:xf numFmtId="164" fontId="8" fillId="3" borderId="3" xfId="0" applyNumberFormat="1" applyFont="1" applyFill="1" applyBorder="1" applyAlignment="1">
      <x:alignment horizontal="general" vertical="bottom" wrapText="0"/>
    </x:xf>
    <x:xf numFmtId="200" fontId="8" fillId="7" borderId="1" xfId="0" applyNumberFormat="1" applyFont="1" applyFill="1" applyBorder="1" applyAlignment="1">
      <x:alignment horizontal="general" vertical="bottom" wrapText="0"/>
    </x:xf>
    <x:xf numFmtId="200" fontId="8" fillId="7" borderId="3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general" vertical="bottom" wrapText="0"/>
    </x:xf>
    <x:xf numFmtId="164" fontId="10" fillId="8" borderId="0" xfId="0" applyNumberFormat="1" applyFont="1" applyFill="1" applyBorder="1" applyAlignment="1">
      <x:alignment horizontal="left" vertical="bottom" wrapText="0"/>
    </x:xf>
    <x:xf numFmtId="164" fontId="10" fillId="8" borderId="0" xfId="0" applyNumberFormat="1" applyFont="1" applyFill="1" applyBorder="1" applyAlignment="1">
      <x:alignment horizontal="left" vertical="center" wrapText="0"/>
    </x:xf>
    <x:xf numFmtId="164" fontId="0" fillId="8" borderId="2" xfId="0" applyNumberFormat="1" applyFont="1" applyFill="1" applyBorder="1" applyAlignment="1">
      <x:alignment horizontal="general" vertical="bottom" wrapText="0"/>
    </x:xf>
    <x:xf numFmtId="164" fontId="10" fillId="8" borderId="2" xfId="0" applyNumberFormat="1" applyFont="1" applyFill="1" applyBorder="1" applyAlignment="1">
      <x:alignment horizontal="general" vertical="bottom" wrapText="0"/>
    </x:xf>
    <x:xf numFmtId="164" fontId="10" fillId="8" borderId="2" xfId="0" applyNumberFormat="1" applyFont="1" applyFill="1" applyBorder="1" applyAlignment="1">
      <x:alignment horizontal="left" vertical="bottom" wrapText="0"/>
    </x:xf>
    <x:xf numFmtId="164" fontId="10" fillId="8" borderId="2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1"/>
    </x:xf>
    <x:xf numFmtId="164" fontId="11" fillId="9" borderId="0" xfId="0" applyNumberFormat="1" applyFont="1" applyFill="1" applyBorder="1" applyAlignment="1">
      <x:alignment horizontal="center" vertical="bottom" wrapText="1"/>
    </x:xf>
    <x:xf numFmtId="164" fontId="11" fillId="9" borderId="0" xfId="0" applyNumberFormat="1" applyFont="1" applyFill="1" applyBorder="1" applyAlignment="1">
      <x:alignment horizontal="center" vertical="center" wrapText="1"/>
    </x:xf>
    <x:xf numFmtId="164" fontId="0" fillId="9" borderId="2" xfId="0" applyNumberFormat="1" applyFont="1" applyFill="1" applyBorder="1" applyAlignment="1">
      <x:alignment horizontal="general" vertical="bottom" wrapText="0"/>
    </x:xf>
    <x:xf numFmtId="164" fontId="11" fillId="9" borderId="2" xfId="0" applyNumberFormat="1" applyFont="1" applyFill="1" applyBorder="1" applyAlignment="1">
      <x:alignment horizontal="general" vertical="bottom" wrapText="0"/>
    </x:xf>
    <x:xf numFmtId="164" fontId="11" fillId="9" borderId="2" xfId="0" applyNumberFormat="1" applyFont="1" applyFill="1" applyBorder="1" applyAlignment="1">
      <x:alignment horizontal="general" vertical="bottom" wrapText="1"/>
    </x:xf>
    <x:xf numFmtId="164" fontId="11" fillId="9" borderId="2" xfId="0" applyNumberFormat="1" applyFont="1" applyFill="1" applyBorder="1" applyAlignment="1">
      <x:alignment horizontal="center" vertical="bottom" wrapText="1"/>
    </x:xf>
    <x:xf numFmtId="164" fontId="11" fillId="9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7F7F7F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0B4"/>
      <x:rgbColor rgb="FFFFE699"/>
      <x:rgbColor rgb="FF9BC2E6"/>
      <x:rgbColor rgb="FFFF99CC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acbd9cb7a46f1" /><Relationship Type="http://schemas.openxmlformats.org/officeDocument/2006/relationships/theme" Target="/xl/theme/theme1.xml" Id="Rcb18861693df4543" /><Relationship Type="http://schemas.openxmlformats.org/officeDocument/2006/relationships/sharedStrings" Target="/xl/sharedStrings.xml" Id="R0236436903b54e0b" /><Relationship Type="http://schemas.openxmlformats.org/officeDocument/2006/relationships/worksheet" Target="/xl/worksheets/sheet1.xml" Id="R2fbb8d710686412c" /><Relationship Type="http://schemas.openxmlformats.org/officeDocument/2006/relationships/worksheet" Target="/xl/worksheets/sheet2.xml" Id="R67b7c96f26a2414c" /><Relationship Type="http://schemas.openxmlformats.org/officeDocument/2006/relationships/worksheet" Target="/xl/worksheets/sheet3.xml" Id="Rd617546c416f4c8f" /><Relationship Type="http://schemas.openxmlformats.org/officeDocument/2006/relationships/worksheet" Target="/xl/worksheets/sheet4.xml" Id="R7d13e72e74e141be" /><Relationship Type="http://schemas.openxmlformats.org/officeDocument/2006/relationships/worksheet" Target="/xl/worksheets/sheet5.xml" Id="Rf772609dfca94388" /><Relationship Type="http://schemas.openxmlformats.org/officeDocument/2006/relationships/worksheet" Target="/xl/worksheets/sheet6.xml" Id="R1dfcca45567c4361" /><Relationship Type="http://schemas.openxmlformats.org/officeDocument/2006/relationships/worksheet" Target="/xl/worksheets/sheet7.xml" Id="R2bdd9bc76f804515" /><Relationship Type="http://schemas.openxmlformats.org/officeDocument/2006/relationships/worksheet" Target="/xl/worksheets/sheet8.xml" Id="R11f244b914b54984" /><Relationship Type="http://schemas.openxmlformats.org/officeDocument/2006/relationships/worksheet" Target="/xl/worksheets/sheet9.xml" Id="R91243f9811084bd3" /><Relationship Type="http://schemas.openxmlformats.org/officeDocument/2006/relationships/worksheet" Target="/xl/worksheets/sheet10.xml" Id="Rb47ba941cead4b47" /><Relationship Type="http://schemas.openxmlformats.org/officeDocument/2006/relationships/worksheet" Target="/xl/worksheets/sheet11.xml" Id="R56e51b1647074e26" /><Relationship Type="http://schemas.openxmlformats.org/officeDocument/2006/relationships/worksheet" Target="/xl/worksheets/sheet12.xml" Id="R7d68f7aa1caf41f2" /><Relationship Type="http://schemas.openxmlformats.org/officeDocument/2006/relationships/worksheet" Target="/xl/worksheets/sheet13.xml" Id="R232ca2c890174c3d" /><Relationship Type="http://schemas.openxmlformats.org/officeDocument/2006/relationships/worksheet" Target="/xl/worksheets/sheet14.xml" Id="R8cde9f3e6f8c4397" /><Relationship Type="http://schemas.openxmlformats.org/officeDocument/2006/relationships/worksheet" Target="/xl/worksheets/sheet15.xml" Id="R8de348ea4611404c" /><Relationship Type="http://schemas.openxmlformats.org/officeDocument/2006/relationships/worksheet" Target="/xl/worksheets/sheet16.xml" Id="R415dcfba34c04e1c" /></Relationships>
</file>

<file path=xl/tables/table1.xml><?xml version="1.0" encoding="utf-8"?>
<x:table xmlns:x="http://schemas.openxmlformats.org/spreadsheetml/2006/main" id="1" name="UrunAileleriTablo" displayName="UrunAileleriTablo" ref="A3:L18" headerRowCount="1">
  <x:tableColumns count="12">
    <x:tableColumn id="1" name="Urun_Aile_ID"/>
    <x:tableColumn id="2" name="Ana Grup"/>
    <x:tableColumn id="3" name="Aile Adı"/>
    <x:tableColumn id="4" name="Ana Standart"/>
    <x:tableColumn id="5" name="Eski/Eşdeğer"/>
    <x:tableColumn id="6" name="Baş Tipi"/>
    <x:tableColumn id="7" name="Tahrik Tipi"/>
    <x:tableColumn id="8" name="Diş Durumu"/>
    <x:tableColumn id="9" name="Ürün Sınıfı"/>
    <x:tableColumn id="10" name="Aktif"/>
    <x:tableColumn id="11" name="Güven"/>
    <x:tableColumn id="12" name="Not"/>
  </x:tableColumns>
  <x:tableStyleInfo name="TableStyleMedium2" showRowStripes="1"/>
</x:table>
</file>

<file path=xl/tables/table2.xml><?xml version="1.0" encoding="utf-8"?>
<x:table xmlns:x="http://schemas.openxmlformats.org/spreadsheetml/2006/main" id="2" name="BoySerileriTablo" displayName="BoySerileriTablo" ref="A3:N8" headerRowCount="1">
  <x:tableColumns count="14">
    <x:tableColumn id="1" name="Boy_ID"/>
    <x:tableColumn id="2" name="Urun_Aile_ID"/>
    <x:tableColumn id="3" name="Standart_No"/>
    <x:tableColumn id="4" name="Dis_Kodu"/>
    <x:tableColumn id="5" name="Nominal Boy l (mm)"/>
    <x:tableColumn id="6" name="Diş Boyu b (mm)"/>
    <x:tableColumn id="7" name="Tam/Kısmi Diş"/>
    <x:tableColumn id="8" name="Boy Serisi Durumu"/>
    <x:tableColumn id="9" name="Min Boy"/>
    <x:tableColumn id="10" name="Max Boy"/>
    <x:tableColumn id="11" name="Güven"/>
    <x:tableColumn id="12" name="Kaynak_ID"/>
    <x:tableColumn id="13" name="Doğrulama Durumu"/>
    <x:tableColumn id="14" name="Not"/>
  </x:tableColumns>
  <x:tableStyleInfo name="TableStyleMedium2" showRowStripes="1"/>
</x:table>
</file>

<file path=xl/tables/table3.xml><?xml version="1.0" encoding="utf-8"?>
<x:table xmlns:x="http://schemas.openxmlformats.org/spreadsheetml/2006/main" id="3" name="SomunProofLoadTablo" displayName="SomunProofLoadTablo" ref="A3:O7" headerRowCount="1">
  <x:tableColumns count="15">
    <x:tableColumn id="1" name="Proof_ID"/>
    <x:tableColumn id="2" name="Somun Sınıfı"/>
    <x:tableColumn id="3" name="Somun Tip/Stil"/>
    <x:tableColumn id="4" name="Diş Aralığı"/>
    <x:tableColumn id="5" name="Dis_Kodu"/>
    <x:tableColumn id="6" name="Hatve"/>
    <x:tableColumn id="7" name="Proof Stress Sp (MPa)"/>
    <x:tableColumn id="8" name="As (mm²)"/>
    <x:tableColumn id="9" name="Proof Load Fp (N)"/>
    <x:tableColumn id="10" name="Test Mandreli"/>
    <x:tableColumn id="11" name="Güven"/>
    <x:tableColumn id="12" name="Kaynak_ID"/>
    <x:tableColumn id="13" name="Durum"/>
    <x:tableColumn id="14" name="Doğrulayan"/>
    <x:tableColumn id="15" name="Not"/>
  </x:tableColumns>
  <x:tableStyleInfo name="TableStyleMedium2" showRowStripes="1"/>
</x:table>
</file>

<file path=xl/tables/table4.xml><?xml version="1.0" encoding="utf-8"?>
<x:table xmlns:x="http://schemas.openxmlformats.org/spreadsheetml/2006/main" id="4" name="ArastirmaDogrulamaTablo" displayName="ArastirmaDogrulamaTablo" ref="A3:J9" headerRowCount="1">
  <x:tableColumns count="10">
    <x:tableColumn id="1" name="Konu"/>
    <x:tableColumn id="2" name="Hedef Alan"/>
    <x:tableColumn id="3" name="Sonuç"/>
    <x:tableColumn id="4" name="Doldurulan Kayıt"/>
    <x:tableColumn id="5" name="Kaynak"/>
    <x:tableColumn id="6" name="Güven"/>
    <x:tableColumn id="7" name="Neden"/>
    <x:tableColumn id="8" name="Sonraki Doğrulama"/>
    <x:tableColumn id="9" name="TorqPro Kullanımı"/>
    <x:tableColumn id="10" name="Durum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24c2471d30fb4e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6ee3a1837ca5417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3262a849132944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a2cb97d06bd6446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72" hidden="0" customWidth="1"/>
  </x:cols>
  <x:sheetData>
    <x:row r="1" ht="16.149999618530273" hidden="0">
      <x:c r="A1" s="1" t="s">
        <x:v>0</x:v>
      </x:c>
    </x:row>
    <x:row r="3" ht="15" hidden="0">
      <x:c r="A3" s="2"/>
      <x:c r="B3" s="3"/>
    </x:row>
    <x:row r="4" ht="23.850000381469727" hidden="0">
      <x:c r="A4" s="4" t="s">
        <x:v>1</x:v>
      </x:c>
      <x:c r="B4" s="3" t="s">
        <x:v>2</x:v>
      </x:c>
    </x:row>
    <x:row r="5" ht="15" hidden="0">
      <x:c r="A5" s="2"/>
      <x:c r="B5" s="3"/>
    </x:row>
    <x:row r="6" ht="15" hidden="0">
      <x:c r="A6" s="4" t="s">
        <x:v>3</x:v>
      </x:c>
      <x:c r="B6" s="3"/>
    </x:row>
    <x:row r="7" ht="15" hidden="0">
      <x:c r="A7" s="4" t="s">
        <x:v>4</x:v>
      </x:c>
      <x:c r="B7" s="3" t="s">
        <x:v>5</x:v>
      </x:c>
    </x:row>
    <x:row r="8" ht="15" hidden="0">
      <x:c r="A8" s="4" t="s">
        <x:v>6</x:v>
      </x:c>
      <x:c r="B8" s="3" t="s">
        <x:v>7</x:v>
      </x:c>
    </x:row>
    <x:row r="9" ht="15" hidden="0">
      <x:c r="A9" s="4" t="s">
        <x:v>8</x:v>
      </x:c>
      <x:c r="B9" s="3" t="s">
        <x:v>9</x:v>
      </x:c>
    </x:row>
    <x:row r="10" ht="15" hidden="0">
      <x:c r="A10" s="4" t="s">
        <x:v>10</x:v>
      </x:c>
      <x:c r="B10" s="3" t="s">
        <x:v>11</x:v>
      </x:c>
    </x:row>
    <x:row r="11" ht="15" hidden="0">
      <x:c r="A11" s="4" t="s">
        <x:v>12</x:v>
      </x:c>
      <x:c r="B11" s="3" t="s">
        <x:v>13</x:v>
      </x:c>
    </x:row>
    <x:row r="12" ht="15" hidden="0">
      <x:c r="A12" s="4" t="s">
        <x:v>14</x:v>
      </x:c>
      <x:c r="B12" s="3" t="s">
        <x:v>15</x:v>
      </x:c>
    </x:row>
    <x:row r="13" ht="15" hidden="0">
      <x:c r="A13" s="4" t="s">
        <x:v>16</x:v>
      </x:c>
      <x:c r="B13" s="3" t="s">
        <x:v>17</x:v>
      </x:c>
    </x:row>
    <x:row r="14" ht="15" hidden="0">
      <x:c r="A14" s="4" t="s">
        <x:v>18</x:v>
      </x:c>
      <x:c r="B14" s="3" t="s">
        <x:v>19</x:v>
      </x:c>
    </x:row>
    <x:row r="15" ht="15" hidden="0">
      <x:c r="A15" s="4" t="s">
        <x:v>20</x:v>
      </x:c>
      <x:c r="B15" s="3" t="s">
        <x:v>21</x:v>
      </x:c>
    </x:row>
    <x:row r="16" ht="15" hidden="0">
      <x:c r="A16" s="2"/>
      <x:c r="B16" s="3"/>
    </x:row>
    <x:row r="17" ht="15" hidden="0">
      <x:c r="A17" s="4" t="s">
        <x:v>22</x:v>
      </x:c>
      <x:c r="B17" s="3"/>
    </x:row>
    <x:row r="18" ht="15" hidden="0">
      <x:c r="A18" s="5" t="s">
        <x:v>23</x:v>
      </x:c>
      <x:c r="B18" s="3" t="s">
        <x:v>24</x:v>
      </x:c>
    </x:row>
    <x:row r="19" ht="15" hidden="0">
      <x:c r="A19" s="6" t="s">
        <x:v>25</x:v>
      </x:c>
      <x:c r="B19" s="3" t="s">
        <x:v>26</x:v>
      </x:c>
    </x:row>
    <x:row r="20" ht="15" hidden="0">
      <x:c r="A20" s="7" t="s">
        <x:v>27</x:v>
      </x:c>
      <x:c r="B20" s="3" t="s">
        <x:v>28</x:v>
      </x:c>
    </x:row>
    <x:row r="21" ht="15" hidden="0">
      <x:c r="A21" s="8" t="s">
        <x:v>29</x:v>
      </x:c>
      <x:c r="B21" s="3" t="s">
        <x:v>30</x:v>
      </x:c>
    </x:row>
    <x:row r="22" ht="15" hidden="0">
      <x:c r="A22" s="2"/>
      <x:c r="B22" s="3"/>
    </x:row>
    <x:row r="23" ht="15" hidden="0">
      <x:c r="A23" s="4" t="s">
        <x:v>31</x:v>
      </x:c>
      <x:c r="B23" s="3" t="s">
        <x:v>32</x:v>
      </x:c>
    </x:row>
    <x:row r="24" ht="15" hidden="0">
      <x:c r="A24" s="4" t="s">
        <x:v>33</x:v>
      </x:c>
      <x:c r="B24" s="3" t="s">
        <x:v>34</x:v>
      </x:c>
    </x:row>
    <x:row r="26">
      <x:c r="A26" s="52" t="str">
        <x:v>v3.1 Yeni Tablo</x:v>
      </x:c>
      <x:c r="B26" s="52" t="str">
        <x:v>Amaç</x:v>
      </x:c>
    </x:row>
    <x:row r="27">
      <x:c r="A27" s="38" t="str">
        <x:v>Urun_Aileleri</x:v>
      </x:c>
      <x:c r="B27" s="38" t="str">
        <x:v>Ürün ailesini standart, geometri ve seçim ekranından ayıran ana katalog</x:v>
      </x:c>
    </x:row>
    <x:row r="28">
      <x:c r="A28" s="38" t="str">
        <x:v>Boy_Serileri</x:v>
      </x:c>
      <x:c r="B28" s="38" t="str">
        <x:v>Standart + çap + nominal boy + diş boyu ilişkisini tutar</x:v>
      </x:c>
    </x:row>
    <x:row r="29">
      <x:c r="A29" s="38" t="str">
        <x:v>Somun_Proof_Load</x:v>
      </x:c>
      <x:c r="B29" s="38" t="str">
        <x:v>ISO 898-2 proof-load değerlerini çap/hatve/stil bazlı tutar</x:v>
      </x:c>
    </x:row>
    <x:row r="30">
      <x:c r="A30" s="38" t="str">
        <x:v>Arastirma_Dogrulama</x:v>
      </x:c>
      <x:c r="B30" s="38" t="str">
        <x:v>Web/ZIP araştırmasında bulunan, bulunamayan ve bekleyen verileri raporlar</x:v>
      </x:c>
    </x:row>
    <x:row r="31">
      <x:c r="A31" s="38" t="str">
        <x:v>Güven 2 ISO 7040</x:v>
      </x:c>
      <x:c r="B31" s="38" t="str">
        <x:v>Kamuya açık tablolarla çapraz kontrol; üretim için güven 4 gerekir</x:v>
      </x:c>
    </x:row>
    <x:row r="32">
      <x:c r="A32" s="38" t="str">
        <x:v>Sürtünme uyarısı</x:v>
      </x:c>
      <x:c r="B32" s="38" t="str">
        <x:v>μthread ve μbearing yalnız test raporundan alınmalıdır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6" hidden="0" customWidth="1"/>
    <x:col min="3" max="3" width="60" hidden="0" customWidth="1"/>
    <x:col min="4" max="4" width="22" hidden="0" customWidth="1"/>
    <x:col min="5" max="5" width="26" hidden="0" customWidth="1"/>
    <x:col min="6" max="6" width="40" hidden="0" customWidth="1"/>
  </x:cols>
  <x:sheetData>
    <x:row r="1" ht="16.149999618530273" hidden="0">
      <x:c r="A1" s="1" t="s">
        <x:v>35</x:v>
      </x:c>
    </x:row>
    <x:row r="3" ht="15" hidden="0">
      <x:c r="A3" s="9" t="s">
        <x:v>36</x:v>
      </x:c>
      <x:c r="B3" s="9" t="s">
        <x:v>37</x:v>
      </x:c>
      <x:c r="C3" s="9" t="s">
        <x:v>38</x:v>
      </x:c>
      <x:c r="D3" s="9" t="s">
        <x:v>39</x:v>
      </x:c>
      <x:c r="E3" s="9" t="s">
        <x:v>40</x:v>
      </x:c>
      <x:c r="F3" s="9" t="s">
        <x:v>41</x:v>
      </x:c>
    </x:row>
    <x:row r="4" ht="15" hidden="0">
      <x:c r="A4" s="10" t="s">
        <x:v>42</x:v>
      </x:c>
      <x:c r="B4" s="10" t="s">
        <x:v>43</x:v>
      </x:c>
      <x:c r="C4" s="10" t="s">
        <x:v>44</x:v>
      </x:c>
      <x:c r="D4" s="10" t="s">
        <x:v>45</x:v>
      </x:c>
      <x:c r="E4" s="10" t="s">
        <x:v>46</x:v>
      </x:c>
      <x:c r="F4" s="10" t="s">
        <x:v>47</x:v>
      </x:c>
    </x:row>
    <x:row r="5" ht="15" hidden="0">
      <x:c r="A5" s="10" t="s">
        <x:v>48</x:v>
      </x:c>
      <x:c r="B5" s="10" t="s">
        <x:v>43</x:v>
      </x:c>
      <x:c r="C5" s="10" t="s">
        <x:v>49</x:v>
      </x:c>
      <x:c r="D5" s="10" t="s">
        <x:v>45</x:v>
      </x:c>
      <x:c r="E5" s="10" t="s">
        <x:v>50</x:v>
      </x:c>
      <x:c r="F5" s="10" t="s">
        <x:v>51</x:v>
      </x:c>
    </x:row>
    <x:row r="6" ht="15" hidden="0">
      <x:c r="A6" s="10" t="s">
        <x:v>52</x:v>
      </x:c>
      <x:c r="B6" s="10" t="s">
        <x:v>43</x:v>
      </x:c>
      <x:c r="C6" s="10" t="s">
        <x:v>53</x:v>
      </x:c>
      <x:c r="D6" s="10" t="s">
        <x:v>45</x:v>
      </x:c>
      <x:c r="E6" s="10" t="s">
        <x:v>50</x:v>
      </x:c>
      <x:c r="F6" s="10" t="s">
        <x:v>54</x:v>
      </x:c>
    </x:row>
    <x:row r="7" ht="15" hidden="0">
      <x:c r="A7" s="10" t="s">
        <x:v>55</x:v>
      </x:c>
      <x:c r="B7" s="10" t="s">
        <x:v>43</x:v>
      </x:c>
      <x:c r="C7" s="10" t="s">
        <x:v>56</x:v>
      </x:c>
      <x:c r="D7" s="10" t="s">
        <x:v>45</x:v>
      </x:c>
      <x:c r="E7" s="10" t="s">
        <x:v>50</x:v>
      </x:c>
      <x:c r="F7" s="10" t="s">
        <x:v>57</x:v>
      </x:c>
    </x:row>
    <x:row r="8" ht="15" hidden="0">
      <x:c r="A8" s="10" t="s">
        <x:v>58</x:v>
      </x:c>
      <x:c r="B8" s="10" t="s">
        <x:v>43</x:v>
      </x:c>
      <x:c r="C8" s="10" t="s">
        <x:v>59</x:v>
      </x:c>
      <x:c r="D8" s="10" t="s">
        <x:v>45</x:v>
      </x:c>
      <x:c r="E8" s="10" t="s">
        <x:v>50</x:v>
      </x:c>
      <x:c r="F8" s="10" t="s">
        <x:v>60</x:v>
      </x:c>
    </x:row>
    <x:row r="9" ht="15" hidden="0">
      <x:c r="A9" s="10" t="s">
        <x:v>61</x:v>
      </x:c>
      <x:c r="B9" s="10" t="s">
        <x:v>62</x:v>
      </x:c>
      <x:c r="C9" s="10" t="s">
        <x:v>63</x:v>
      </x:c>
      <x:c r="D9" s="10" t="s">
        <x:v>64</x:v>
      </x:c>
      <x:c r="E9" s="10" t="s">
        <x:v>65</x:v>
      </x:c>
      <x:c r="F9" s="10" t="s">
        <x:v>66</x:v>
      </x:c>
    </x:row>
    <x:row r="10" ht="15" hidden="0">
      <x:c r="A10" s="10" t="s">
        <x:v>67</x:v>
      </x:c>
      <x:c r="B10" s="10" t="s">
        <x:v>62</x:v>
      </x:c>
      <x:c r="C10" s="10" t="s">
        <x:v>68</x:v>
      </x:c>
      <x:c r="D10" s="10" t="s">
        <x:v>69</x:v>
      </x:c>
      <x:c r="E10" s="10" t="s">
        <x:v>70</x:v>
      </x:c>
      <x:c r="F10" s="10" t="s">
        <x:v>71</x:v>
      </x:c>
    </x:row>
    <x:row r="11" ht="15" hidden="0">
      <x:c r="A11" s="10" t="s">
        <x:v>72</x:v>
      </x:c>
      <x:c r="B11" s="10" t="s">
        <x:v>62</x:v>
      </x:c>
      <x:c r="C11" s="10" t="s">
        <x:v>73</x:v>
      </x:c>
      <x:c r="D11" s="10" t="s">
        <x:v>74</x:v>
      </x:c>
      <x:c r="E11" s="10" t="s">
        <x:v>70</x:v>
      </x:c>
      <x:c r="F11" s="10" t="s">
        <x:v>75</x:v>
      </x:c>
    </x:row>
    <x:row r="12" ht="15" hidden="0">
      <x:c r="A12" s="10" t="s">
        <x:v>76</x:v>
      </x:c>
      <x:c r="B12" s="10" t="s">
        <x:v>77</x:v>
      </x:c>
      <x:c r="C12" s="10" t="s">
        <x:v>78</x:v>
      </x:c>
      <x:c r="D12" s="10" t="s">
        <x:v>45</x:v>
      </x:c>
      <x:c r="E12" s="10" t="s">
        <x:v>79</x:v>
      </x:c>
      <x:c r="F12" s="10" t="s">
        <x:v>80</x:v>
      </x:c>
    </x:row>
    <x:row r="13">
      <x:c r="A13" s="38" t="str">
        <x:v>SRC-010</x:v>
      </x:c>
      <x:c r="B13" s="38" t="str">
        <x:v>Web teknik referansı</x:v>
      </x:c>
      <x:c r="C13" s="38" t="str">
        <x:v>ISO 7040 / DIN 985 nylon insert nut dimensions — public cross-check</x:v>
      </x:c>
      <x:c r="D13" s="38" t="str">
        <x:v>M6=6, M8=8, M10=10, M12=12 mm nut height</x:v>
      </x:c>
      <x:c r="E13" s="38" t="str">
        <x:v>https://en.wikipedia.org/wiki/Nut_(hardware)</x:v>
      </x:c>
      <x:c r="F13" s="38" t="str">
        <x:v>Yalnız çapraz kontrol; nihai güven seviyesi 4 için lisanslı ISO 7040 veya üretici sertifikalı çizim gerekir</x:v>
      </x:c>
    </x:row>
    <x:row r="14">
      <x:c r="A14" s="38" t="str">
        <x:v>SRC-011</x:v>
      </x:c>
      <x:c r="B14" s="38" t="str">
        <x:v>Resmî standart kataloğu</x:v>
      </x:c>
      <x:c r="C14" s="38" t="str">
        <x:v>ISO 898-2 — Carbon steel and alloy steel nuts — property classes</x:v>
      </x:c>
      <x:c r="D14" s="38" t="str">
        <x:v>Proof-load tablosu standart içinde</x:v>
      </x:c>
      <x:c r="E14" s="38" t="str">
        <x:v>https://www.iso.org/standard/53674.html</x:v>
      </x:c>
      <x:c r="F14" s="38" t="str">
        <x:v>Tek bir sınıf değeri değildir; nominal çap, hatve, somun tipi ve sınıfa göre satır bazlı tutulmalıdır</x:v>
      </x:c>
    </x:row>
    <x:row r="15">
      <x:c r="A15" s="38" t="str">
        <x:v>SRC-012</x:v>
      </x:c>
      <x:c r="B15" s="38" t="str">
        <x:v>Resmî standart kataloğu</x:v>
      </x:c>
      <x:c r="C15" s="38" t="str">
        <x:v>ISO 16047 — Fasteners — Torque/clamp force testing</x:v>
      </x:c>
      <x:c r="D15" s="38" t="str">
        <x:v>μthread / μbearing test yöntemi</x:v>
      </x:c>
      <x:c r="E15" s="38" t="str">
        <x:v>https://www.iso.org/standard/53717.html</x:v>
      </x:c>
      <x:c r="F15" s="38" t="str">
        <x:v>μthread ve μbearing, μtotal değerinden güvenilir biçimde türetilemez; test raporu gereklidir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4" hidden="0" customWidth="1"/>
    <x:col min="3" max="3" width="52" hidden="0" customWidth="1"/>
    <x:col min="4" max="4" width="16" hidden="0" customWidth="1"/>
    <x:col min="5" max="5" width="42" hidden="0" customWidth="1"/>
    <x:col min="6" max="6" width="10" hidden="0" customWidth="1"/>
    <x:col min="7" max="7" width="20" hidden="0" customWidth="1"/>
    <x:col min="8" max="8" width="12" hidden="0" customWidth="1"/>
  </x:cols>
  <x:sheetData>
    <x:row r="1" ht="16.149999618530273" hidden="0">
      <x:c r="A1" s="1" t="s">
        <x:v>81</x:v>
      </x:c>
    </x:row>
    <x:row r="3" ht="15" hidden="0">
      <x:c r="A3" s="9" t="s">
        <x:v>82</x:v>
      </x:c>
      <x:c r="B3" s="9" t="s">
        <x:v>83</x:v>
      </x:c>
      <x:c r="C3" s="9" t="s">
        <x:v>84</x:v>
      </x:c>
      <x:c r="D3" s="9" t="s">
        <x:v>85</x:v>
      </x:c>
      <x:c r="E3" s="9" t="s">
        <x:v>86</x:v>
      </x:c>
      <x:c r="F3" s="9" t="s">
        <x:v>87</x:v>
      </x:c>
      <x:c r="G3" s="9" t="s">
        <x:v>88</x:v>
      </x:c>
      <x:c r="H3" s="9" t="s">
        <x:v>36</x:v>
      </x:c>
    </x:row>
    <x:row r="4" ht="15" hidden="0">
      <x:c r="A4" s="10" t="s">
        <x:v>89</x:v>
      </x:c>
      <x:c r="B4" s="10" t="s">
        <x:v>90</x:v>
      </x:c>
      <x:c r="C4" s="10" t="s">
        <x:v>91</x:v>
      </x:c>
      <x:c r="D4" s="10" t="s">
        <x:v>92</x:v>
      </x:c>
      <x:c r="E4" s="10" t="s">
        <x:v>93</x:v>
      </x:c>
      <x:c r="F4" s="10" t="s">
        <x:v>94</x:v>
      </x:c>
      <x:c r="G4" s="10" t="s">
        <x:v>95</x:v>
      </x:c>
      <x:c r="H4" s="10" t="s">
        <x:v>52</x:v>
      </x:c>
    </x:row>
    <x:row r="5" ht="15" hidden="0">
      <x:c r="A5" s="10" t="s">
        <x:v>96</x:v>
      </x:c>
      <x:c r="B5" s="10" t="s">
        <x:v>90</x:v>
      </x:c>
      <x:c r="C5" s="10" t="s">
        <x:v>97</x:v>
      </x:c>
      <x:c r="D5" s="10" t="s">
        <x:v>98</x:v>
      </x:c>
      <x:c r="E5" s="10" t="s">
        <x:v>93</x:v>
      </x:c>
      <x:c r="F5" s="10" t="s">
        <x:v>94</x:v>
      </x:c>
      <x:c r="G5" s="10" t="s">
        <x:v>95</x:v>
      </x:c>
      <x:c r="H5" s="10" t="s">
        <x:v>52</x:v>
      </x:c>
    </x:row>
    <x:row r="6" ht="15" hidden="0">
      <x:c r="A6" s="10" t="s">
        <x:v>99</x:v>
      </x:c>
      <x:c r="B6" s="10" t="s">
        <x:v>90</x:v>
      </x:c>
      <x:c r="C6" s="10" t="s">
        <x:v>100</x:v>
      </x:c>
      <x:c r="D6" s="10" t="s">
        <x:v>101</x:v>
      </x:c>
      <x:c r="E6" s="10" t="s">
        <x:v>102</x:v>
      </x:c>
      <x:c r="F6" s="10" t="s">
        <x:v>94</x:v>
      </x:c>
      <x:c r="G6" s="10" t="s">
        <x:v>95</x:v>
      </x:c>
      <x:c r="H6" s="10" t="s">
        <x:v>52</x:v>
      </x:c>
    </x:row>
    <x:row r="7" ht="15" hidden="0">
      <x:c r="A7" s="10" t="s">
        <x:v>103</x:v>
      </x:c>
      <x:c r="B7" s="10" t="s">
        <x:v>90</x:v>
      </x:c>
      <x:c r="C7" s="10" t="s">
        <x:v>104</x:v>
      </x:c>
      <x:c r="D7" s="10" t="s">
        <x:v>105</x:v>
      </x:c>
      <x:c r="E7" s="10" t="s">
        <x:v>106</x:v>
      </x:c>
      <x:c r="F7" s="10" t="s">
        <x:v>94</x:v>
      </x:c>
      <x:c r="G7" s="10" t="s">
        <x:v>107</x:v>
      </x:c>
      <x:c r="H7" s="10" t="s">
        <x:v>52</x:v>
      </x:c>
    </x:row>
    <x:row r="8" ht="15" hidden="0">
      <x:c r="A8" s="10" t="s">
        <x:v>108</x:v>
      </x:c>
      <x:c r="B8" s="10" t="s">
        <x:v>90</x:v>
      </x:c>
      <x:c r="C8" s="10" t="s">
        <x:v>109</x:v>
      </x:c>
      <x:c r="D8" s="10" t="s">
        <x:v>45</x:v>
      </x:c>
      <x:c r="E8" s="10" t="s">
        <x:v>110</x:v>
      </x:c>
      <x:c r="F8" s="10" t="s">
        <x:v>94</x:v>
      </x:c>
      <x:c r="G8" s="10" t="s">
        <x:v>107</x:v>
      </x:c>
      <x:c r="H8" s="10" t="s">
        <x:v>52</x:v>
      </x:c>
    </x:row>
    <x:row r="9" ht="15" hidden="0">
      <x:c r="A9" s="10" t="s">
        <x:v>111</x:v>
      </x:c>
      <x:c r="B9" s="10" t="s">
        <x:v>90</x:v>
      </x:c>
      <x:c r="C9" s="10" t="s">
        <x:v>112</x:v>
      </x:c>
      <x:c r="D9" s="10" t="s">
        <x:v>45</x:v>
      </x:c>
      <x:c r="E9" s="10" t="s">
        <x:v>113</x:v>
      </x:c>
      <x:c r="F9" s="10" t="s">
        <x:v>94</x:v>
      </x:c>
      <x:c r="G9" s="10" t="s">
        <x:v>107</x:v>
      </x:c>
      <x:c r="H9" s="10" t="s">
        <x:v>52</x:v>
      </x:c>
    </x:row>
    <x:row r="10" ht="15" hidden="0">
      <x:c r="A10" s="10" t="s">
        <x:v>114</x:v>
      </x:c>
      <x:c r="B10" s="10" t="s">
        <x:v>90</x:v>
      </x:c>
      <x:c r="C10" s="10" t="s">
        <x:v>115</x:v>
      </x:c>
      <x:c r="D10" s="10" t="s">
        <x:v>45</x:v>
      </x:c>
      <x:c r="E10" s="10" t="s">
        <x:v>113</x:v>
      </x:c>
      <x:c r="F10" s="10" t="s">
        <x:v>94</x:v>
      </x:c>
      <x:c r="G10" s="10" t="s">
        <x:v>107</x:v>
      </x:c>
      <x:c r="H10" s="10" t="s">
        <x:v>52</x:v>
      </x:c>
    </x:row>
    <x:row r="11" ht="15" hidden="0">
      <x:c r="A11" s="10" t="s">
        <x:v>116</x:v>
      </x:c>
      <x:c r="B11" s="10" t="s">
        <x:v>117</x:v>
      </x:c>
      <x:c r="C11" s="10" t="s">
        <x:v>118</x:v>
      </x:c>
      <x:c r="D11" s="10" t="s">
        <x:v>119</x:v>
      </x:c>
      <x:c r="E11" s="10" t="s">
        <x:v>120</x:v>
      </x:c>
      <x:c r="F11" s="10" t="s">
        <x:v>94</x:v>
      </x:c>
      <x:c r="G11" s="10" t="s">
        <x:v>95</x:v>
      </x:c>
      <x:c r="H11" s="10" t="s">
        <x:v>55</x:v>
      </x:c>
    </x:row>
    <x:row r="12" ht="15" hidden="0">
      <x:c r="A12" s="10" t="s">
        <x:v>121</x:v>
      </x:c>
      <x:c r="B12" s="10" t="s">
        <x:v>117</x:v>
      </x:c>
      <x:c r="C12" s="10" t="s">
        <x:v>122</x:v>
      </x:c>
      <x:c r="D12" s="10" t="s">
        <x:v>45</x:v>
      </x:c>
      <x:c r="E12" s="10" t="s">
        <x:v>123</x:v>
      </x:c>
      <x:c r="F12" s="10" t="s">
        <x:v>94</x:v>
      </x:c>
      <x:c r="G12" s="10" t="s">
        <x:v>107</x:v>
      </x:c>
      <x:c r="H12" s="10" t="s">
        <x:v>55</x:v>
      </x:c>
    </x:row>
    <x:row r="13" ht="15" hidden="0">
      <x:c r="A13" s="10" t="s">
        <x:v>124</x:v>
      </x:c>
      <x:c r="B13" s="10" t="s">
        <x:v>117</x:v>
      </x:c>
      <x:c r="C13" s="10" t="s">
        <x:v>125</x:v>
      </x:c>
      <x:c r="D13" s="10" t="s">
        <x:v>126</x:v>
      </x:c>
      <x:c r="E13" s="10" t="s">
        <x:v>127</x:v>
      </x:c>
      <x:c r="F13" s="10" t="s">
        <x:v>94</x:v>
      </x:c>
      <x:c r="G13" s="10" t="s">
        <x:v>95</x:v>
      </x:c>
      <x:c r="H13" s="10" t="s">
        <x:v>55</x:v>
      </x:c>
    </x:row>
    <x:row r="14" ht="15" hidden="0">
      <x:c r="A14" s="10" t="s">
        <x:v>128</x:v>
      </x:c>
      <x:c r="B14" s="10" t="s">
        <x:v>117</x:v>
      </x:c>
      <x:c r="C14" s="10" t="s">
        <x:v>129</x:v>
      </x:c>
      <x:c r="D14" s="10" t="s">
        <x:v>130</x:v>
      </x:c>
      <x:c r="E14" s="10" t="s">
        <x:v>131</x:v>
      </x:c>
      <x:c r="F14" s="10" t="s">
        <x:v>94</x:v>
      </x:c>
      <x:c r="G14" s="10" t="s">
        <x:v>132</x:v>
      </x:c>
      <x:c r="H14" s="10" t="s">
        <x:v>55</x:v>
      </x:c>
    </x:row>
    <x:row r="15" ht="15" hidden="0">
      <x:c r="A15" s="10" t="s">
        <x:v>133</x:v>
      </x:c>
      <x:c r="B15" s="10" t="s">
        <x:v>117</x:v>
      </x:c>
      <x:c r="C15" s="10" t="s">
        <x:v>134</x:v>
      </x:c>
      <x:c r="D15" s="10" t="s">
        <x:v>135</x:v>
      </x:c>
      <x:c r="E15" s="10" t="s">
        <x:v>131</x:v>
      </x:c>
      <x:c r="F15" s="10" t="s">
        <x:v>94</x:v>
      </x:c>
      <x:c r="G15" s="10" t="s">
        <x:v>107</x:v>
      </x:c>
      <x:c r="H15" s="10" t="s">
        <x:v>55</x:v>
      </x:c>
    </x:row>
    <x:row r="16" ht="15" hidden="0">
      <x:c r="A16" s="10" t="s">
        <x:v>136</x:v>
      </x:c>
      <x:c r="B16" s="10" t="s">
        <x:v>117</x:v>
      </x:c>
      <x:c r="C16" s="10" t="s">
        <x:v>137</x:v>
      </x:c>
      <x:c r="D16" s="10" t="s">
        <x:v>45</x:v>
      </x:c>
      <x:c r="E16" s="10" t="s">
        <x:v>113</x:v>
      </x:c>
      <x:c r="F16" s="10" t="s">
        <x:v>94</x:v>
      </x:c>
      <x:c r="G16" s="10" t="s">
        <x:v>107</x:v>
      </x:c>
      <x:c r="H16" s="10" t="s">
        <x:v>55</x:v>
      </x:c>
    </x:row>
    <x:row r="17" ht="15" hidden="0">
      <x:c r="A17" s="10" t="s">
        <x:v>138</x:v>
      </x:c>
      <x:c r="B17" s="10" t="s">
        <x:v>139</x:v>
      </x:c>
      <x:c r="C17" s="10" t="s">
        <x:v>140</x:v>
      </x:c>
      <x:c r="D17" s="10" t="s">
        <x:v>141</x:v>
      </x:c>
      <x:c r="E17" s="10" t="s">
        <x:v>142</x:v>
      </x:c>
      <x:c r="F17" s="10" t="s">
        <x:v>94</x:v>
      </x:c>
      <x:c r="G17" s="10" t="s">
        <x:v>95</x:v>
      </x:c>
      <x:c r="H17" s="10" t="s">
        <x:v>58</x:v>
      </x:c>
    </x:row>
    <x:row r="18" ht="15" hidden="0">
      <x:c r="A18" s="10" t="s">
        <x:v>143</x:v>
      </x:c>
      <x:c r="B18" s="10" t="s">
        <x:v>139</x:v>
      </x:c>
      <x:c r="C18" s="10" t="s">
        <x:v>144</x:v>
      </x:c>
      <x:c r="D18" s="10" t="s">
        <x:v>145</x:v>
      </x:c>
      <x:c r="E18" s="10" t="s">
        <x:v>146</x:v>
      </x:c>
      <x:c r="F18" s="10" t="s">
        <x:v>94</x:v>
      </x:c>
      <x:c r="G18" s="10" t="s">
        <x:v>95</x:v>
      </x:c>
      <x:c r="H18" s="10" t="s">
        <x:v>58</x:v>
      </x:c>
    </x:row>
    <x:row r="19" ht="15" hidden="0">
      <x:c r="A19" s="10" t="s">
        <x:v>147</x:v>
      </x:c>
      <x:c r="B19" s="10" t="s">
        <x:v>139</x:v>
      </x:c>
      <x:c r="C19" s="10" t="s">
        <x:v>148</x:v>
      </x:c>
      <x:c r="D19" s="10" t="s">
        <x:v>149</x:v>
      </x:c>
      <x:c r="E19" s="10" t="s">
        <x:v>150</x:v>
      </x:c>
      <x:c r="F19" s="10" t="s">
        <x:v>151</x:v>
      </x:c>
      <x:c r="G19" s="10" t="s">
        <x:v>107</x:v>
      </x:c>
      <x:c r="H19" s="10" t="s">
        <x:v>58</x:v>
      </x:c>
    </x:row>
    <x:row r="20" ht="15" hidden="0">
      <x:c r="A20" s="10" t="s">
        <x:v>152</x:v>
      </x:c>
      <x:c r="B20" s="10" t="s">
        <x:v>139</x:v>
      </x:c>
      <x:c r="C20" s="10" t="s">
        <x:v>153</x:v>
      </x:c>
      <x:c r="D20" s="10" t="s">
        <x:v>154</x:v>
      </x:c>
      <x:c r="E20" s="10" t="s">
        <x:v>155</x:v>
      </x:c>
      <x:c r="F20" s="10" t="s">
        <x:v>94</x:v>
      </x:c>
      <x:c r="G20" s="10" t="s">
        <x:v>95</x:v>
      </x:c>
      <x:c r="H20" s="10" t="s">
        <x:v>58</x:v>
      </x:c>
    </x:row>
    <x:row r="21" ht="15" hidden="0">
      <x:c r="A21" s="10" t="s">
        <x:v>156</x:v>
      </x:c>
      <x:c r="B21" s="10" t="s">
        <x:v>139</x:v>
      </x:c>
      <x:c r="C21" s="10" t="s">
        <x:v>157</x:v>
      </x:c>
      <x:c r="D21" s="10" t="s">
        <x:v>45</x:v>
      </x:c>
      <x:c r="E21" s="10" t="s">
        <x:v>158</x:v>
      </x:c>
      <x:c r="F21" s="10" t="s">
        <x:v>151</x:v>
      </x:c>
      <x:c r="G21" s="10" t="s">
        <x:v>107</x:v>
      </x:c>
      <x:c r="H21" s="10" t="s">
        <x:v>58</x:v>
      </x:c>
    </x:row>
    <x:row r="22" ht="15" hidden="0">
      <x:c r="A22" s="10" t="s">
        <x:v>159</x:v>
      </x:c>
      <x:c r="B22" s="10" t="s">
        <x:v>160</x:v>
      </x:c>
      <x:c r="C22" s="10" t="s">
        <x:v>161</x:v>
      </x:c>
      <x:c r="D22" s="10" t="s">
        <x:v>162</x:v>
      </x:c>
      <x:c r="E22" s="10" t="s">
        <x:v>163</x:v>
      </x:c>
      <x:c r="F22" s="10" t="s">
        <x:v>151</x:v>
      </x:c>
      <x:c r="G22" s="10" t="s">
        <x:v>107</x:v>
      </x:c>
      <x:c r="H22" s="10" t="s">
        <x:v>52</x:v>
      </x:c>
    </x:row>
    <x:row r="23" ht="15" hidden="0">
      <x:c r="A23" s="10" t="s">
        <x:v>164</x:v>
      </x:c>
      <x:c r="B23" s="10" t="s">
        <x:v>160</x:v>
      </x:c>
      <x:c r="C23" s="10" t="s">
        <x:v>165</x:v>
      </x:c>
      <x:c r="D23" s="10" t="s">
        <x:v>166</x:v>
      </x:c>
      <x:c r="E23" s="10" t="s">
        <x:v>163</x:v>
      </x:c>
      <x:c r="F23" s="10" t="s">
        <x:v>151</x:v>
      </x:c>
      <x:c r="G23" s="10" t="s">
        <x:v>107</x:v>
      </x:c>
      <x:c r="H23" s="10" t="s">
        <x:v>52</x:v>
      </x:c>
    </x:row>
    <x:row r="24" ht="15" hidden="0">
      <x:c r="A24" s="10" t="s">
        <x:v>167</x:v>
      </x:c>
      <x:c r="B24" s="10" t="s">
        <x:v>160</x:v>
      </x:c>
      <x:c r="C24" s="10" t="s">
        <x:v>168</x:v>
      </x:c>
      <x:c r="D24" s="10" t="s">
        <x:v>169</x:v>
      </x:c>
      <x:c r="E24" s="10" t="s">
        <x:v>163</x:v>
      </x:c>
      <x:c r="F24" s="10" t="s">
        <x:v>151</x:v>
      </x:c>
      <x:c r="G24" s="10" t="s">
        <x:v>107</x:v>
      </x:c>
      <x:c r="H24" s="10" t="s">
        <x:v>52</x:v>
      </x:c>
    </x:row>
    <x:row r="25" ht="15" hidden="0">
      <x:c r="A25" s="10" t="s">
        <x:v>170</x:v>
      </x:c>
      <x:c r="B25" s="10" t="s">
        <x:v>160</x:v>
      </x:c>
      <x:c r="C25" s="10" t="s">
        <x:v>171</x:v>
      </x:c>
      <x:c r="D25" s="10" t="s">
        <x:v>172</x:v>
      </x:c>
      <x:c r="E25" s="10" t="s">
        <x:v>163</x:v>
      </x:c>
      <x:c r="F25" s="10" t="s">
        <x:v>151</x:v>
      </x:c>
      <x:c r="G25" s="10" t="s">
        <x:v>107</x:v>
      </x:c>
      <x:c r="H25" s="10" t="s">
        <x:v>52</x:v>
      </x:c>
    </x:row>
    <x:row r="26" ht="15" hidden="0">
      <x:c r="A26" s="10" t="s">
        <x:v>173</x:v>
      </x:c>
      <x:c r="B26" s="10" t="s">
        <x:v>174</x:v>
      </x:c>
      <x:c r="C26" s="10" t="s">
        <x:v>175</x:v>
      </x:c>
      <x:c r="D26" s="10" t="s">
        <x:v>45</x:v>
      </x:c>
      <x:c r="E26" s="10" t="s">
        <x:v>176</x:v>
      </x:c>
      <x:c r="F26" s="10" t="s">
        <x:v>94</x:v>
      </x:c>
      <x:c r="G26" s="10" t="s">
        <x:v>177</x:v>
      </x:c>
      <x:c r="H26" s="10" t="s">
        <x:v>42</x:v>
      </x:c>
    </x:row>
    <x:row r="27" ht="15" hidden="0">
      <x:c r="A27" s="10" t="s">
        <x:v>178</x:v>
      </x:c>
      <x:c r="B27" s="10" t="s">
        <x:v>174</x:v>
      </x:c>
      <x:c r="C27" s="10" t="s">
        <x:v>179</x:v>
      </x:c>
      <x:c r="D27" s="10" t="s">
        <x:v>45</x:v>
      </x:c>
      <x:c r="E27" s="10" t="s">
        <x:v>180</x:v>
      </x:c>
      <x:c r="F27" s="10" t="s">
        <x:v>94</x:v>
      </x:c>
      <x:c r="G27" s="10" t="s">
        <x:v>177</x:v>
      </x:c>
      <x:c r="H27" s="10" t="s">
        <x:v>42</x:v>
      </x:c>
    </x:row>
    <x:row r="28" ht="15" hidden="0">
      <x:c r="A28" s="10" t="s">
        <x:v>181</x:v>
      </x:c>
      <x:c r="B28" s="10" t="s">
        <x:v>174</x:v>
      </x:c>
      <x:c r="C28" s="10" t="s">
        <x:v>182</x:v>
      </x:c>
      <x:c r="D28" s="10" t="s">
        <x:v>45</x:v>
      </x:c>
      <x:c r="E28" s="10" t="s">
        <x:v>183</x:v>
      </x:c>
      <x:c r="F28" s="10" t="s">
        <x:v>94</x:v>
      </x:c>
      <x:c r="G28" s="10" t="s">
        <x:v>184</x:v>
      </x:c>
      <x:c r="H28" s="10" t="s">
        <x:v>42</x:v>
      </x:c>
    </x:row>
    <x:row r="29" ht="15" hidden="0">
      <x:c r="A29" s="10" t="s">
        <x:v>185</x:v>
      </x:c>
      <x:c r="B29" s="10" t="s">
        <x:v>174</x:v>
      </x:c>
      <x:c r="C29" s="10" t="s">
        <x:v>186</x:v>
      </x:c>
      <x:c r="D29" s="10" t="s">
        <x:v>45</x:v>
      </x:c>
      <x:c r="E29" s="10" t="s">
        <x:v>187</x:v>
      </x:c>
      <x:c r="F29" s="10" t="s">
        <x:v>151</x:v>
      </x:c>
      <x:c r="G29" s="10" t="s">
        <x:v>107</x:v>
      </x:c>
      <x:c r="H29" s="10" t="s">
        <x:v>42</x:v>
      </x:c>
    </x:row>
    <x:row r="30" ht="15" hidden="0">
      <x:c r="A30" s="10" t="s">
        <x:v>188</x:v>
      </x:c>
      <x:c r="B30" s="10" t="s">
        <x:v>90</x:v>
      </x:c>
      <x:c r="C30" s="10" t="s">
        <x:v>189</x:v>
      </x:c>
      <x:c r="D30" s="10" t="s">
        <x:v>45</x:v>
      </x:c>
      <x:c r="E30" s="10" t="s">
        <x:v>190</x:v>
      </x:c>
      <x:c r="F30" s="10" t="s">
        <x:v>151</x:v>
      </x:c>
      <x:c r="G30" s="10" t="s">
        <x:v>107</x:v>
      </x:c>
      <x:c r="H30" s="10" t="s">
        <x:v>52</x:v>
      </x:c>
    </x:row>
    <x:row r="31" ht="15" hidden="0">
      <x:c r="A31" s="10" t="s">
        <x:v>191</x:v>
      </x:c>
      <x:c r="B31" s="10" t="s">
        <x:v>192</x:v>
      </x:c>
      <x:c r="C31" s="10" t="s">
        <x:v>193</x:v>
      </x:c>
      <x:c r="D31" s="10" t="s">
        <x:v>45</x:v>
      </x:c>
      <x:c r="E31" s="10" t="s">
        <x:v>194</x:v>
      </x:c>
      <x:c r="F31" s="10" t="s">
        <x:v>94</x:v>
      </x:c>
      <x:c r="G31" s="10" t="s">
        <x:v>177</x:v>
      </x:c>
      <x:c r="H31" s="10" t="s">
        <x:v>48</x:v>
      </x:c>
    </x:row>
    <x:row r="32" ht="15" hidden="0">
      <x:c r="A32" s="10" t="s">
        <x:v>195</x:v>
      </x:c>
      <x:c r="B32" s="10" t="s">
        <x:v>192</x:v>
      </x:c>
      <x:c r="C32" s="10" t="s">
        <x:v>196</x:v>
      </x:c>
      <x:c r="D32" s="10" t="s">
        <x:v>45</x:v>
      </x:c>
      <x:c r="E32" s="10" t="s">
        <x:v>197</x:v>
      </x:c>
      <x:c r="F32" s="10" t="s">
        <x:v>94</x:v>
      </x:c>
      <x:c r="G32" s="10" t="s">
        <x:v>132</x:v>
      </x:c>
      <x:c r="H32" s="10" t="s">
        <x:v>48</x:v>
      </x:c>
    </x:row>
    <x:row r="33" ht="15" hidden="0">
      <x:c r="A33" s="10" t="s">
        <x:v>198</x:v>
      </x:c>
      <x:c r="B33" s="10" t="s">
        <x:v>192</x:v>
      </x:c>
      <x:c r="C33" s="10" t="s">
        <x:v>199</x:v>
      </x:c>
      <x:c r="D33" s="10" t="s">
        <x:v>45</x:v>
      </x:c>
      <x:c r="E33" s="10" t="s">
        <x:v>200</x:v>
      </x:c>
      <x:c r="F33" s="10" t="s">
        <x:v>94</x:v>
      </x:c>
      <x:c r="G33" s="10" t="s">
        <x:v>177</x:v>
      </x:c>
      <x:c r="H33" s="10" t="s">
        <x:v>48</x:v>
      </x:c>
    </x:row>
    <x:row r="34" ht="15" hidden="0">
      <x:c r="A34" s="10" t="s">
        <x:v>201</x:v>
      </x:c>
      <x:c r="B34" s="10" t="s">
        <x:v>202</x:v>
      </x:c>
      <x:c r="C34" s="10" t="s">
        <x:v>203</x:v>
      </x:c>
      <x:c r="D34" s="10" t="s">
        <x:v>45</x:v>
      </x:c>
      <x:c r="E34" s="10" t="s">
        <x:v>204</x:v>
      </x:c>
      <x:c r="F34" s="10" t="s">
        <x:v>94</x:v>
      </x:c>
      <x:c r="G34" s="10" t="s">
        <x:v>205</x:v>
      </x:c>
      <x:c r="H34" s="10" t="s">
        <x:v>48</x:v>
      </x:c>
    </x:row>
    <x:row r="35" ht="15" hidden="0">
      <x:c r="A35" s="10" t="s">
        <x:v>206</x:v>
      </x:c>
      <x:c r="B35" s="10" t="s">
        <x:v>202</x:v>
      </x:c>
      <x:c r="C35" s="10" t="s">
        <x:v>207</x:v>
      </x:c>
      <x:c r="D35" s="10" t="s">
        <x:v>45</x:v>
      </x:c>
      <x:c r="E35" s="10" t="s">
        <x:v>208</x:v>
      </x:c>
      <x:c r="F35" s="10" t="s">
        <x:v>94</x:v>
      </x:c>
      <x:c r="G35" s="10" t="s">
        <x:v>205</x:v>
      </x:c>
      <x:c r="H35" s="10" t="s">
        <x:v>48</x:v>
      </x:c>
    </x:row>
    <x:row r="36" ht="15" hidden="0">
      <x:c r="A36" s="10" t="s">
        <x:v>209</x:v>
      </x:c>
      <x:c r="B36" s="10" t="s">
        <x:v>202</x:v>
      </x:c>
      <x:c r="C36" s="10" t="s">
        <x:v>210</x:v>
      </x:c>
      <x:c r="D36" s="10" t="s">
        <x:v>45</x:v>
      </x:c>
      <x:c r="E36" s="10" t="s">
        <x:v>211</x:v>
      </x:c>
      <x:c r="F36" s="10" t="s">
        <x:v>151</x:v>
      </x:c>
      <x:c r="G36" s="10" t="s">
        <x:v>107</x:v>
      </x:c>
      <x:c r="H36" s="10" t="s">
        <x:v>48</x:v>
      </x:c>
    </x:row>
    <x:row r="37" ht="15" hidden="0">
      <x:c r="A37" s="10" t="s">
        <x:v>212</x:v>
      </x:c>
      <x:c r="B37" s="10" t="s">
        <x:v>213</x:v>
      </x:c>
      <x:c r="C37" s="10" t="s">
        <x:v>214</x:v>
      </x:c>
      <x:c r="D37" s="10" t="s">
        <x:v>45</x:v>
      </x:c>
      <x:c r="E37" s="10" t="s">
        <x:v>215</x:v>
      </x:c>
      <x:c r="F37" s="10" t="s">
        <x:v>94</x:v>
      </x:c>
      <x:c r="G37" s="10" t="s">
        <x:v>205</x:v>
      </x:c>
      <x:c r="H37" s="10" t="s">
        <x:v>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6" width="18" hidden="0" customWidth="1"/>
    <x:col min="7" max="7" width="12" hidden="0" customWidth="1"/>
    <x:col min="8" max="8" width="16" hidden="0" customWidth="1"/>
    <x:col min="9" max="9" width="8" hidden="0" customWidth="1"/>
    <x:col min="10" max="10" width="12" hidden="0" customWidth="1"/>
    <x:col min="11" max="11" width="34" hidden="0" customWidth="1"/>
  </x:cols>
  <x:sheetData>
    <x:row r="1" ht="16.149999618530273" hidden="0">
      <x:c r="A1" s="1" t="s">
        <x:v>216</x:v>
      </x:c>
    </x:row>
    <x:row r="3" ht="23.850000381469727" hidden="0">
      <x:c r="A3" s="9" t="s">
        <x:v>217</x:v>
      </x:c>
      <x:c r="B3" s="9" t="s">
        <x:v>218</x:v>
      </x:c>
      <x:c r="C3" s="9" t="s">
        <x:v>219</x:v>
      </x:c>
      <x:c r="D3" s="9" t="s">
        <x:v>220</x:v>
      </x:c>
      <x:c r="E3" s="9" t="s">
        <x:v>221</x:v>
      </x:c>
      <x:c r="F3" s="9" t="s">
        <x:v>222</x:v>
      </x:c>
      <x:c r="G3" s="9" t="s">
        <x:v>223</x:v>
      </x:c>
      <x:c r="H3" s="9" t="s">
        <x:v>224</x:v>
      </x:c>
      <x:c r="I3" s="9" t="s">
        <x:v>225</x:v>
      </x:c>
      <x:c r="J3" s="9" t="s">
        <x:v>36</x:v>
      </x:c>
      <x:c r="K3" s="9" t="s">
        <x:v>41</x:v>
      </x:c>
    </x:row>
    <x:row r="4" ht="15" hidden="0">
      <x:c r="A4" s="10" t="s">
        <x:v>226</x:v>
      </x:c>
      <x:c r="B4" s="10" t="s">
        <x:v>227</x:v>
      </x:c>
      <x:c r="C4" s="10" t="n">
        <x:v>3</x:v>
      </x:c>
      <x:c r="D4" s="10" t="n">
        <x:v>0.5</x:v>
      </x:c>
      <x:c r="E4" s="11" t="n">
        <x:f aca="0">ROUND(C4-0.6495*D4,3)</x:f>
        <x:v>2.675</x:v>
      </x:c>
      <x:c r="F4" s="11" t="n">
        <x:f aca="0">ROUND(C4-1.2269*D4,3)</x:f>
        <x:v>2.387</x:v>
      </x:c>
      <x:c r="G4" s="11" t="n">
        <x:f aca="0">ROUND(PI()/4*((E4+F4)/2)^2,1)</x:f>
        <x:v>5</x:v>
      </x:c>
      <x:c r="H4" s="10" t="n">
        <x:v>5.03</x:v>
      </x:c>
      <x:c r="I4" s="12" t="n">
        <x:v>2</x:v>
      </x:c>
      <x:c r="J4" s="10" t="s">
        <x:v>76</x:v>
      </x:c>
      <x:c r="K4" s="13" t="s">
        <x:v>228</x:v>
      </x:c>
    </x:row>
    <x:row r="5" ht="15" hidden="0">
      <x:c r="A5" s="10" t="s">
        <x:v>229</x:v>
      </x:c>
      <x:c r="B5" s="10" t="s">
        <x:v>227</x:v>
      </x:c>
      <x:c r="C5" s="10" t="n">
        <x:v>4</x:v>
      </x:c>
      <x:c r="D5" s="10" t="n">
        <x:v>0.7</x:v>
      </x:c>
      <x:c r="E5" s="11" t="n">
        <x:f aca="0">ROUND(C5-0.6495*D5,3)</x:f>
        <x:v>3.545</x:v>
      </x:c>
      <x:c r="F5" s="11" t="n">
        <x:f aca="0">ROUND(C5-1.2269*D5,3)</x:f>
        <x:v>3.141</x:v>
      </x:c>
      <x:c r="G5" s="11" t="n">
        <x:f aca="0">ROUND(PI()/4*((E5+F5)/2)^2,1)</x:f>
        <x:v>8.8</x:v>
      </x:c>
      <x:c r="H5" s="10" t="n">
        <x:v>8.78</x:v>
      </x:c>
      <x:c r="I5" s="12" t="n">
        <x:v>2</x:v>
      </x:c>
      <x:c r="J5" s="10" t="s">
        <x:v>76</x:v>
      </x:c>
      <x:c r="K5" s="13" t="s">
        <x:v>228</x:v>
      </x:c>
    </x:row>
    <x:row r="6" ht="15" hidden="0">
      <x:c r="A6" s="10" t="s">
        <x:v>230</x:v>
      </x:c>
      <x:c r="B6" s="10" t="s">
        <x:v>227</x:v>
      </x:c>
      <x:c r="C6" s="10" t="n">
        <x:v>5</x:v>
      </x:c>
      <x:c r="D6" s="10" t="n">
        <x:v>0.8</x:v>
      </x:c>
      <x:c r="E6" s="11" t="n">
        <x:f aca="0">ROUND(C6-0.6495*D6,3)</x:f>
        <x:v>4.48</x:v>
      </x:c>
      <x:c r="F6" s="11" t="n">
        <x:f aca="0">ROUND(C6-1.2269*D6,3)</x:f>
        <x:v>4.018</x:v>
      </x:c>
      <x:c r="G6" s="11" t="n">
        <x:f aca="0">ROUND(PI()/4*((E6+F6)/2)^2,1)</x:f>
        <x:v>14.2</x:v>
      </x:c>
      <x:c r="H6" s="10" t="n">
        <x:v>14.2</x:v>
      </x:c>
      <x:c r="I6" s="12" t="n">
        <x:v>2</x:v>
      </x:c>
      <x:c r="J6" s="10" t="s">
        <x:v>76</x:v>
      </x:c>
      <x:c r="K6" s="13" t="s">
        <x:v>228</x:v>
      </x:c>
    </x:row>
    <x:row r="7" ht="15" hidden="0">
      <x:c r="A7" s="10" t="s">
        <x:v>231</x:v>
      </x:c>
      <x:c r="B7" s="10" t="s">
        <x:v>227</x:v>
      </x:c>
      <x:c r="C7" s="10" t="n">
        <x:v>6</x:v>
      </x:c>
      <x:c r="D7" s="10" t="n">
        <x:v>1</x:v>
      </x:c>
      <x:c r="E7" s="11" t="n">
        <x:f aca="0">ROUND(C7-0.6495*D7,3)</x:f>
        <x:v>5.351</x:v>
      </x:c>
      <x:c r="F7" s="11" t="n">
        <x:f aca="0">ROUND(C7-1.2269*D7,3)</x:f>
        <x:v>4.773</x:v>
      </x:c>
      <x:c r="G7" s="11" t="n">
        <x:f aca="0">ROUND(PI()/4*((E7+F7)/2)^2,1)</x:f>
        <x:v>20.1</x:v>
      </x:c>
      <x:c r="H7" s="10" t="n">
        <x:v>20.1</x:v>
      </x:c>
      <x:c r="I7" s="12" t="n">
        <x:v>2</x:v>
      </x:c>
      <x:c r="J7" s="10" t="s">
        <x:v>76</x:v>
      </x:c>
      <x:c r="K7" s="13" t="s">
        <x:v>228</x:v>
      </x:c>
    </x:row>
    <x:row r="8" ht="15" hidden="0">
      <x:c r="A8" s="10" t="s">
        <x:v>232</x:v>
      </x:c>
      <x:c r="B8" s="10" t="s">
        <x:v>227</x:v>
      </x:c>
      <x:c r="C8" s="10" t="n">
        <x:v>8</x:v>
      </x:c>
      <x:c r="D8" s="10" t="n">
        <x:v>1.25</x:v>
      </x:c>
      <x:c r="E8" s="11" t="n">
        <x:f aca="0">ROUND(C8-0.6495*D8,3)</x:f>
        <x:v>7.188</x:v>
      </x:c>
      <x:c r="F8" s="11" t="n">
        <x:f aca="0">ROUND(C8-1.2269*D8,3)</x:f>
        <x:v>6.466</x:v>
      </x:c>
      <x:c r="G8" s="11" t="n">
        <x:f aca="0">ROUND(PI()/4*((E8+F8)/2)^2,1)</x:f>
        <x:v>36.6</x:v>
      </x:c>
      <x:c r="H8" s="10" t="n">
        <x:v>36.6</x:v>
      </x:c>
      <x:c r="I8" s="12" t="n">
        <x:v>2</x:v>
      </x:c>
      <x:c r="J8" s="10" t="s">
        <x:v>76</x:v>
      </x:c>
      <x:c r="K8" s="13" t="s">
        <x:v>228</x:v>
      </x:c>
    </x:row>
    <x:row r="9" ht="15" hidden="0">
      <x:c r="A9" s="10" t="s">
        <x:v>233</x:v>
      </x:c>
      <x:c r="B9" s="10" t="s">
        <x:v>227</x:v>
      </x:c>
      <x:c r="C9" s="10" t="n">
        <x:v>10</x:v>
      </x:c>
      <x:c r="D9" s="10" t="n">
        <x:v>1.5</x:v>
      </x:c>
      <x:c r="E9" s="11" t="n">
        <x:f aca="0">ROUND(C9-0.6495*D9,3)</x:f>
        <x:v>9.026</x:v>
      </x:c>
      <x:c r="F9" s="11" t="n">
        <x:f aca="0">ROUND(C9-1.2269*D9,3)</x:f>
        <x:v>8.16</x:v>
      </x:c>
      <x:c r="G9" s="11" t="n">
        <x:f aca="0">ROUND(PI()/4*((E9+F9)/2)^2,1)</x:f>
        <x:v>58</x:v>
      </x:c>
      <x:c r="H9" s="10" t="n">
        <x:v>58</x:v>
      </x:c>
      <x:c r="I9" s="12" t="n">
        <x:v>2</x:v>
      </x:c>
      <x:c r="J9" s="10" t="s">
        <x:v>76</x:v>
      </x:c>
      <x:c r="K9" s="13" t="s">
        <x:v>228</x:v>
      </x:c>
    </x:row>
    <x:row r="10" ht="15" hidden="0">
      <x:c r="A10" s="10" t="s">
        <x:v>234</x:v>
      </x:c>
      <x:c r="B10" s="10" t="s">
        <x:v>227</x:v>
      </x:c>
      <x:c r="C10" s="10" t="n">
        <x:v>12</x:v>
      </x:c>
      <x:c r="D10" s="10" t="n">
        <x:v>1.75</x:v>
      </x:c>
      <x:c r="E10" s="11" t="n">
        <x:f aca="0">ROUND(C10-0.6495*D10,3)</x:f>
        <x:v>10.863</x:v>
      </x:c>
      <x:c r="F10" s="11" t="n">
        <x:f aca="0">ROUND(C10-1.2269*D10,3)</x:f>
        <x:v>9.853</x:v>
      </x:c>
      <x:c r="G10" s="11" t="n">
        <x:f aca="0">ROUND(PI()/4*((E10+F10)/2)^2,1)</x:f>
        <x:v>84.3</x:v>
      </x:c>
      <x:c r="H10" s="10" t="n">
        <x:v>84.3</x:v>
      </x:c>
      <x:c r="I10" s="12" t="n">
        <x:v>2</x:v>
      </x:c>
      <x:c r="J10" s="10" t="s">
        <x:v>76</x:v>
      </x:c>
      <x:c r="K10" s="13" t="s">
        <x:v>228</x:v>
      </x:c>
    </x:row>
    <x:row r="11" ht="15" hidden="0">
      <x:c r="A11" s="10" t="s">
        <x:v>235</x:v>
      </x:c>
      <x:c r="B11" s="10" t="s">
        <x:v>227</x:v>
      </x:c>
      <x:c r="C11" s="10" t="n">
        <x:v>14</x:v>
      </x:c>
      <x:c r="D11" s="10" t="n">
        <x:v>2</x:v>
      </x:c>
      <x:c r="E11" s="11" t="n">
        <x:f aca="0">ROUND(C11-0.6495*D11,3)</x:f>
        <x:v>12.701</x:v>
      </x:c>
      <x:c r="F11" s="11" t="n">
        <x:f aca="0">ROUND(C11-1.2269*D11,3)</x:f>
        <x:v>11.546</x:v>
      </x:c>
      <x:c r="G11" s="11" t="n">
        <x:f aca="0">ROUND(PI()/4*((E11+F11)/2)^2,1)</x:f>
        <x:v>115.4</x:v>
      </x:c>
      <x:c r="H11" s="10" t="n">
        <x:v>115</x:v>
      </x:c>
      <x:c r="I11" s="12" t="n">
        <x:v>2</x:v>
      </x:c>
      <x:c r="J11" s="10" t="s">
        <x:v>76</x:v>
      </x:c>
      <x:c r="K11" s="13" t="s">
        <x:v>228</x:v>
      </x:c>
    </x:row>
    <x:row r="12" ht="15" hidden="0">
      <x:c r="A12" s="10" t="s">
        <x:v>236</x:v>
      </x:c>
      <x:c r="B12" s="10" t="s">
        <x:v>227</x:v>
      </x:c>
      <x:c r="C12" s="10" t="n">
        <x:v>16</x:v>
      </x:c>
      <x:c r="D12" s="10" t="n">
        <x:v>2</x:v>
      </x:c>
      <x:c r="E12" s="11" t="n">
        <x:f aca="0">ROUND(C12-0.6495*D12,3)</x:f>
        <x:v>14.701</x:v>
      </x:c>
      <x:c r="F12" s="11" t="n">
        <x:f aca="0">ROUND(C12-1.2269*D12,3)</x:f>
        <x:v>13.546</x:v>
      </x:c>
      <x:c r="G12" s="11" t="n">
        <x:f aca="0">ROUND(PI()/4*((E12+F12)/2)^2,1)</x:f>
        <x:v>156.7</x:v>
      </x:c>
      <x:c r="H12" s="10" t="n">
        <x:v>157</x:v>
      </x:c>
      <x:c r="I12" s="12" t="n">
        <x:v>2</x:v>
      </x:c>
      <x:c r="J12" s="10" t="s">
        <x:v>76</x:v>
      </x:c>
      <x:c r="K12" s="13" t="s">
        <x:v>228</x:v>
      </x:c>
    </x:row>
    <x:row r="13" ht="15" hidden="0">
      <x:c r="A13" s="10" t="s">
        <x:v>237</x:v>
      </x:c>
      <x:c r="B13" s="10" t="s">
        <x:v>227</x:v>
      </x:c>
      <x:c r="C13" s="10" t="n">
        <x:v>18</x:v>
      </x:c>
      <x:c r="D13" s="10" t="n">
        <x:v>2.5</x:v>
      </x:c>
      <x:c r="E13" s="11" t="n">
        <x:f aca="0">ROUND(C13-0.6495*D13,3)</x:f>
        <x:v>16.376</x:v>
      </x:c>
      <x:c r="F13" s="11" t="n">
        <x:f aca="0">ROUND(C13-1.2269*D13,3)</x:f>
        <x:v>14.933</x:v>
      </x:c>
      <x:c r="G13" s="11" t="n">
        <x:f aca="0">ROUND(PI()/4*((E13+F13)/2)^2,1)</x:f>
        <x:v>192.5</x:v>
      </x:c>
      <x:c r="H13" s="10" t="n">
        <x:v>192</x:v>
      </x:c>
      <x:c r="I13" s="12" t="n">
        <x:v>2</x:v>
      </x:c>
      <x:c r="J13" s="10" t="s">
        <x:v>76</x:v>
      </x:c>
      <x:c r="K13" s="13" t="s">
        <x:v>228</x:v>
      </x:c>
    </x:row>
    <x:row r="14" ht="15" hidden="0">
      <x:c r="A14" s="10" t="s">
        <x:v>238</x:v>
      </x:c>
      <x:c r="B14" s="10" t="s">
        <x:v>227</x:v>
      </x:c>
      <x:c r="C14" s="10" t="n">
        <x:v>20</x:v>
      </x:c>
      <x:c r="D14" s="10" t="n">
        <x:v>2.5</x:v>
      </x:c>
      <x:c r="E14" s="11" t="n">
        <x:f aca="0">ROUND(C14-0.6495*D14,3)</x:f>
        <x:v>18.376</x:v>
      </x:c>
      <x:c r="F14" s="11" t="n">
        <x:f aca="0">ROUND(C14-1.2269*D14,3)</x:f>
        <x:v>16.933</x:v>
      </x:c>
      <x:c r="G14" s="11" t="n">
        <x:f aca="0">ROUND(PI()/4*((E14+F14)/2)^2,1)</x:f>
        <x:v>244.8</x:v>
      </x:c>
      <x:c r="H14" s="10" t="n">
        <x:v>245</x:v>
      </x:c>
      <x:c r="I14" s="12" t="n">
        <x:v>2</x:v>
      </x:c>
      <x:c r="J14" s="10" t="s">
        <x:v>76</x:v>
      </x:c>
      <x:c r="K14" s="13" t="s">
        <x:v>228</x:v>
      </x:c>
    </x:row>
    <x:row r="15" ht="15" hidden="0">
      <x:c r="A15" s="10" t="s">
        <x:v>239</x:v>
      </x:c>
      <x:c r="B15" s="10" t="s">
        <x:v>227</x:v>
      </x:c>
      <x:c r="C15" s="10" t="n">
        <x:v>22</x:v>
      </x:c>
      <x:c r="D15" s="10" t="n">
        <x:v>2.5</x:v>
      </x:c>
      <x:c r="E15" s="11" t="n">
        <x:f aca="0">ROUND(C15-0.6495*D15,3)</x:f>
        <x:v>20.376</x:v>
      </x:c>
      <x:c r="F15" s="11" t="n">
        <x:f aca="0">ROUND(C15-1.2269*D15,3)</x:f>
        <x:v>18.933</x:v>
      </x:c>
      <x:c r="G15" s="11" t="n">
        <x:f aca="0">ROUND(PI()/4*((E15+F15)/2)^2,1)</x:f>
        <x:v>303.4</x:v>
      </x:c>
      <x:c r="H15" s="10" t="n">
        <x:v>303</x:v>
      </x:c>
      <x:c r="I15" s="12" t="n">
        <x:v>2</x:v>
      </x:c>
      <x:c r="J15" s="10" t="s">
        <x:v>76</x:v>
      </x:c>
      <x:c r="K15" s="13" t="s">
        <x:v>228</x:v>
      </x:c>
    </x:row>
    <x:row r="16" ht="15" hidden="0">
      <x:c r="A16" s="10" t="s">
        <x:v>240</x:v>
      </x:c>
      <x:c r="B16" s="10" t="s">
        <x:v>227</x:v>
      </x:c>
      <x:c r="C16" s="10" t="n">
        <x:v>24</x:v>
      </x:c>
      <x:c r="D16" s="10" t="n">
        <x:v>3</x:v>
      </x:c>
      <x:c r="E16" s="11" t="n">
        <x:f aca="0">ROUND(C16-0.6495*D16,3)</x:f>
        <x:v>22.052</x:v>
      </x:c>
      <x:c r="F16" s="11" t="n">
        <x:f aca="0">ROUND(C16-1.2269*D16,3)</x:f>
        <x:v>20.319</x:v>
      </x:c>
      <x:c r="G16" s="11" t="n">
        <x:f aca="0">ROUND(PI()/4*((E16+F16)/2)^2,1)</x:f>
        <x:v>352.5</x:v>
      </x:c>
      <x:c r="H16" s="10" t="n">
        <x:v>353</x:v>
      </x:c>
      <x:c r="I16" s="12" t="n">
        <x:v>2</x:v>
      </x:c>
      <x:c r="J16" s="10" t="s">
        <x:v>76</x:v>
      </x:c>
      <x:c r="K16" s="13" t="s">
        <x:v>228</x:v>
      </x:c>
    </x:row>
    <x:row r="17" ht="15" hidden="0">
      <x:c r="A17" s="10" t="s">
        <x:v>241</x:v>
      </x:c>
      <x:c r="B17" s="10" t="s">
        <x:v>227</x:v>
      </x:c>
      <x:c r="C17" s="10" t="n">
        <x:v>27</x:v>
      </x:c>
      <x:c r="D17" s="10" t="n">
        <x:v>3</x:v>
      </x:c>
      <x:c r="E17" s="11" t="n">
        <x:f aca="0">ROUND(C17-0.6495*D17,3)</x:f>
        <x:v>25.052</x:v>
      </x:c>
      <x:c r="F17" s="11" t="n">
        <x:f aca="0">ROUND(C17-1.2269*D17,3)</x:f>
        <x:v>23.319</x:v>
      </x:c>
      <x:c r="G17" s="11" t="n">
        <x:f aca="0">ROUND(PI()/4*((E17+F17)/2)^2,1)</x:f>
        <x:v>459.4</x:v>
      </x:c>
      <x:c r="H17" s="10" t="n">
        <x:v>459</x:v>
      </x:c>
      <x:c r="I17" s="12" t="n">
        <x:v>2</x:v>
      </x:c>
      <x:c r="J17" s="10" t="s">
        <x:v>76</x:v>
      </x:c>
      <x:c r="K17" s="13" t="s">
        <x:v>228</x:v>
      </x:c>
    </x:row>
    <x:row r="18" ht="15" hidden="0">
      <x:c r="A18" s="10" t="s">
        <x:v>242</x:v>
      </x:c>
      <x:c r="B18" s="10" t="s">
        <x:v>227</x:v>
      </x:c>
      <x:c r="C18" s="10" t="n">
        <x:v>30</x:v>
      </x:c>
      <x:c r="D18" s="10" t="n">
        <x:v>3.5</x:v>
      </x:c>
      <x:c r="E18" s="11" t="n">
        <x:f aca="0">ROUND(C18-0.6495*D18,3)</x:f>
        <x:v>27.727</x:v>
      </x:c>
      <x:c r="F18" s="11" t="n">
        <x:f aca="0">ROUND(C18-1.2269*D18,3)</x:f>
        <x:v>25.706</x:v>
      </x:c>
      <x:c r="G18" s="11" t="n">
        <x:f aca="0">ROUND(PI()/4*((E18+F18)/2)^2,1)</x:f>
        <x:v>560.6</x:v>
      </x:c>
      <x:c r="H18" s="10" t="n">
        <x:v>561</x:v>
      </x:c>
      <x:c r="I18" s="12" t="n">
        <x:v>2</x:v>
      </x:c>
      <x:c r="J18" s="10" t="s">
        <x:v>76</x:v>
      </x:c>
      <x:c r="K18" s="13" t="s">
        <x:v>228</x:v>
      </x:c>
    </x:row>
    <x:row r="19" ht="15" hidden="0">
      <x:c r="A19" s="10" t="s">
        <x:v>243</x:v>
      </x:c>
      <x:c r="B19" s="10" t="s">
        <x:v>244</x:v>
      </x:c>
      <x:c r="C19" s="10" t="n">
        <x:v>8</x:v>
      </x:c>
      <x:c r="D19" s="10" t="n">
        <x:v>1</x:v>
      </x:c>
      <x:c r="E19" s="11" t="n">
        <x:f aca="0">ROUND(C19-0.6495*D19,3)</x:f>
        <x:v>7.351</x:v>
      </x:c>
      <x:c r="F19" s="11" t="n">
        <x:f aca="0">ROUND(C19-1.2269*D19,3)</x:f>
        <x:v>6.773</x:v>
      </x:c>
      <x:c r="G19" s="11" t="n">
        <x:f aca="0">ROUND(PI()/4*((E19+F19)/2)^2,1)</x:f>
        <x:v>39.2</x:v>
      </x:c>
      <x:c r="H19" s="10" t="n">
        <x:v>39.2</x:v>
      </x:c>
      <x:c r="I19" s="12" t="n">
        <x:v>2</x:v>
      </x:c>
      <x:c r="J19" s="10" t="s">
        <x:v>76</x:v>
      </x:c>
      <x:c r="K19" s="13" t="s">
        <x:v>228</x:v>
      </x:c>
    </x:row>
    <x:row r="20" ht="15" hidden="0">
      <x:c r="A20" s="10" t="s">
        <x:v>245</x:v>
      </x:c>
      <x:c r="B20" s="10" t="s">
        <x:v>244</x:v>
      </x:c>
      <x:c r="C20" s="10" t="n">
        <x:v>10</x:v>
      </x:c>
      <x:c r="D20" s="10" t="n">
        <x:v>1</x:v>
      </x:c>
      <x:c r="E20" s="11" t="n">
        <x:f aca="0">ROUND(C20-0.6495*D20,3)</x:f>
        <x:v>9.351</x:v>
      </x:c>
      <x:c r="F20" s="11" t="n">
        <x:f aca="0">ROUND(C20-1.2269*D20,3)</x:f>
        <x:v>8.773</x:v>
      </x:c>
      <x:c r="G20" s="11" t="n">
        <x:f aca="0">ROUND(PI()/4*((E20+F20)/2)^2,1)</x:f>
        <x:v>64.5</x:v>
      </x:c>
      <x:c r="H20" s="10" t="n">
        <x:v>64.5</x:v>
      </x:c>
      <x:c r="I20" s="12" t="n">
        <x:v>2</x:v>
      </x:c>
      <x:c r="J20" s="10" t="s">
        <x:v>76</x:v>
      </x:c>
      <x:c r="K20" s="13" t="s">
        <x:v>228</x:v>
      </x:c>
    </x:row>
    <x:row r="21" ht="15" hidden="0">
      <x:c r="A21" s="10" t="s">
        <x:v>246</x:v>
      </x:c>
      <x:c r="B21" s="10" t="s">
        <x:v>244</x:v>
      </x:c>
      <x:c r="C21" s="10" t="n">
        <x:v>10</x:v>
      </x:c>
      <x:c r="D21" s="10" t="n">
        <x:v>1.25</x:v>
      </x:c>
      <x:c r="E21" s="11" t="n">
        <x:f aca="0">ROUND(C21-0.6495*D21,3)</x:f>
        <x:v>9.188</x:v>
      </x:c>
      <x:c r="F21" s="11" t="n">
        <x:f aca="0">ROUND(C21-1.2269*D21,3)</x:f>
        <x:v>8.466</x:v>
      </x:c>
      <x:c r="G21" s="11" t="n">
        <x:f aca="0">ROUND(PI()/4*((E21+F21)/2)^2,1)</x:f>
        <x:v>61.2</x:v>
      </x:c>
      <x:c r="H21" s="10" t="n">
        <x:v>61.2</x:v>
      </x:c>
      <x:c r="I21" s="12" t="n">
        <x:v>2</x:v>
      </x:c>
      <x:c r="J21" s="10" t="s">
        <x:v>76</x:v>
      </x:c>
      <x:c r="K21" s="13" t="s">
        <x:v>228</x:v>
      </x:c>
    </x:row>
    <x:row r="22" ht="15" hidden="0">
      <x:c r="A22" s="10" t="s">
        <x:v>247</x:v>
      </x:c>
      <x:c r="B22" s="10" t="s">
        <x:v>244</x:v>
      </x:c>
      <x:c r="C22" s="10" t="n">
        <x:v>12</x:v>
      </x:c>
      <x:c r="D22" s="10" t="n">
        <x:v>1.25</x:v>
      </x:c>
      <x:c r="E22" s="11" t="n">
        <x:f aca="0">ROUND(C22-0.6495*D22,3)</x:f>
        <x:v>11.188</x:v>
      </x:c>
      <x:c r="F22" s="11" t="n">
        <x:f aca="0">ROUND(C22-1.2269*D22,3)</x:f>
        <x:v>10.466</x:v>
      </x:c>
      <x:c r="G22" s="11" t="n">
        <x:f aca="0">ROUND(PI()/4*((E22+F22)/2)^2,1)</x:f>
        <x:v>92.1</x:v>
      </x:c>
      <x:c r="H22" s="10" t="n">
        <x:v>92.1</x:v>
      </x:c>
      <x:c r="I22" s="12" t="n">
        <x:v>2</x:v>
      </x:c>
      <x:c r="J22" s="10" t="s">
        <x:v>76</x:v>
      </x:c>
      <x:c r="K22" s="13" t="s">
        <x:v>228</x:v>
      </x:c>
    </x:row>
    <x:row r="23" ht="15" hidden="0">
      <x:c r="A23" s="10" t="s">
        <x:v>248</x:v>
      </x:c>
      <x:c r="B23" s="10" t="s">
        <x:v>244</x:v>
      </x:c>
      <x:c r="C23" s="10" t="n">
        <x:v>12</x:v>
      </x:c>
      <x:c r="D23" s="10" t="n">
        <x:v>1.5</x:v>
      </x:c>
      <x:c r="E23" s="11" t="n">
        <x:f aca="0">ROUND(C23-0.6495*D23,3)</x:f>
        <x:v>11.026</x:v>
      </x:c>
      <x:c r="F23" s="11" t="n">
        <x:f aca="0">ROUND(C23-1.2269*D23,3)</x:f>
        <x:v>10.16</x:v>
      </x:c>
      <x:c r="G23" s="11" t="n">
        <x:f aca="0">ROUND(PI()/4*((E23+F23)/2)^2,1)</x:f>
        <x:v>88.1</x:v>
      </x:c>
      <x:c r="H23" s="10" t="n">
        <x:v>88.1</x:v>
      </x:c>
      <x:c r="I23" s="12" t="n">
        <x:v>2</x:v>
      </x:c>
      <x:c r="J23" s="10" t="s">
        <x:v>76</x:v>
      </x:c>
      <x:c r="K23" s="13" t="s">
        <x:v>228</x:v>
      </x:c>
    </x:row>
    <x:row r="24" ht="15" hidden="0">
      <x:c r="A24" s="10" t="s">
        <x:v>249</x:v>
      </x:c>
      <x:c r="B24" s="10" t="s">
        <x:v>244</x:v>
      </x:c>
      <x:c r="C24" s="10" t="n">
        <x:v>14</x:v>
      </x:c>
      <x:c r="D24" s="10" t="n">
        <x:v>1.5</x:v>
      </x:c>
      <x:c r="E24" s="11" t="n">
        <x:f aca="0">ROUND(C24-0.6495*D24,3)</x:f>
        <x:v>13.026</x:v>
      </x:c>
      <x:c r="F24" s="11" t="n">
        <x:f aca="0">ROUND(C24-1.2269*D24,3)</x:f>
        <x:v>12.16</x:v>
      </x:c>
      <x:c r="G24" s="11" t="n">
        <x:f aca="0">ROUND(PI()/4*((E24+F24)/2)^2,1)</x:f>
        <x:v>124.6</x:v>
      </x:c>
      <x:c r="H24" s="10" t="n">
        <x:v>125</x:v>
      </x:c>
      <x:c r="I24" s="12" t="n">
        <x:v>2</x:v>
      </x:c>
      <x:c r="J24" s="10" t="s">
        <x:v>76</x:v>
      </x:c>
      <x:c r="K24" s="13" t="s">
        <x:v>228</x:v>
      </x:c>
    </x:row>
    <x:row r="25" ht="15" hidden="0">
      <x:c r="A25" s="10" t="s">
        <x:v>250</x:v>
      </x:c>
      <x:c r="B25" s="10" t="s">
        <x:v>244</x:v>
      </x:c>
      <x:c r="C25" s="10" t="n">
        <x:v>16</x:v>
      </x:c>
      <x:c r="D25" s="10" t="n">
        <x:v>1.5</x:v>
      </x:c>
      <x:c r="E25" s="11" t="n">
        <x:f aca="0">ROUND(C25-0.6495*D25,3)</x:f>
        <x:v>15.026</x:v>
      </x:c>
      <x:c r="F25" s="11" t="n">
        <x:f aca="0">ROUND(C25-1.2269*D25,3)</x:f>
        <x:v>14.16</x:v>
      </x:c>
      <x:c r="G25" s="11" t="n">
        <x:f aca="0">ROUND(PI()/4*((E25+F25)/2)^2,1)</x:f>
        <x:v>167.3</x:v>
      </x:c>
      <x:c r="H25" s="10" t="n">
        <x:v>167</x:v>
      </x:c>
      <x:c r="I25" s="12" t="n">
        <x:v>2</x:v>
      </x:c>
      <x:c r="J25" s="10" t="s">
        <x:v>76</x:v>
      </x:c>
      <x:c r="K25" s="13" t="s">
        <x:v>228</x:v>
      </x:c>
    </x:row>
    <x:row r="26" ht="15" hidden="0">
      <x:c r="A26" s="10" t="s">
        <x:v>251</x:v>
      </x:c>
      <x:c r="B26" s="10" t="s">
        <x:v>244</x:v>
      </x:c>
      <x:c r="C26" s="10" t="n">
        <x:v>18</x:v>
      </x:c>
      <x:c r="D26" s="10" t="n">
        <x:v>1.5</x:v>
      </x:c>
      <x:c r="E26" s="11" t="n">
        <x:f aca="0">ROUND(C26-0.6495*D26,3)</x:f>
        <x:v>17.026</x:v>
      </x:c>
      <x:c r="F26" s="11" t="n">
        <x:f aca="0">ROUND(C26-1.2269*D26,3)</x:f>
        <x:v>16.16</x:v>
      </x:c>
      <x:c r="G26" s="11" t="n">
        <x:f aca="0">ROUND(PI()/4*((E26+F26)/2)^2,1)</x:f>
        <x:v>216.2</x:v>
      </x:c>
      <x:c r="H26" s="10" t="n">
        <x:v>216</x:v>
      </x:c>
      <x:c r="I26" s="12" t="n">
        <x:v>2</x:v>
      </x:c>
      <x:c r="J26" s="10" t="s">
        <x:v>76</x:v>
      </x:c>
      <x:c r="K26" s="13" t="s">
        <x:v>228</x:v>
      </x:c>
    </x:row>
    <x:row r="27" ht="15" hidden="0">
      <x:c r="A27" s="10" t="s">
        <x:v>252</x:v>
      </x:c>
      <x:c r="B27" s="10" t="s">
        <x:v>244</x:v>
      </x:c>
      <x:c r="C27" s="10" t="n">
        <x:v>20</x:v>
      </x:c>
      <x:c r="D27" s="10" t="n">
        <x:v>1.5</x:v>
      </x:c>
      <x:c r="E27" s="11" t="n">
        <x:f aca="0">ROUND(C27-0.6495*D27,3)</x:f>
        <x:v>19.026</x:v>
      </x:c>
      <x:c r="F27" s="11" t="n">
        <x:f aca="0">ROUND(C27-1.2269*D27,3)</x:f>
        <x:v>18.16</x:v>
      </x:c>
      <x:c r="G27" s="11" t="n">
        <x:f aca="0">ROUND(PI()/4*((E27+F27)/2)^2,1)</x:f>
        <x:v>271.5</x:v>
      </x:c>
      <x:c r="H27" s="10" t="n">
        <x:v>272</x:v>
      </x:c>
      <x:c r="I27" s="12" t="n">
        <x:v>2</x:v>
      </x:c>
      <x:c r="J27" s="10" t="s">
        <x:v>76</x:v>
      </x:c>
      <x:c r="K27" s="13" t="s">
        <x:v>228</x:v>
      </x:c>
    </x:row>
    <x:row r="28" ht="15" hidden="0">
      <x:c r="A28" s="10" t="s">
        <x:v>253</x:v>
      </x:c>
      <x:c r="B28" s="10" t="s">
        <x:v>244</x:v>
      </x:c>
      <x:c r="C28" s="10" t="n">
        <x:v>22</x:v>
      </x:c>
      <x:c r="D28" s="10" t="n">
        <x:v>1.5</x:v>
      </x:c>
      <x:c r="E28" s="11" t="n">
        <x:f aca="0">ROUND(C28-0.6495*D28,3)</x:f>
        <x:v>21.026</x:v>
      </x:c>
      <x:c r="F28" s="11" t="n">
        <x:f aca="0">ROUND(C28-1.2269*D28,3)</x:f>
        <x:v>20.16</x:v>
      </x:c>
      <x:c r="G28" s="11" t="n">
        <x:f aca="0">ROUND(PI()/4*((E28+F28)/2)^2,1)</x:f>
        <x:v>333.1</x:v>
      </x:c>
      <x:c r="H28" s="10" t="n">
        <x:v>333</x:v>
      </x:c>
      <x:c r="I28" s="12" t="n">
        <x:v>2</x:v>
      </x:c>
      <x:c r="J28" s="10" t="s">
        <x:v>76</x:v>
      </x:c>
      <x:c r="K28" s="13" t="s">
        <x:v>228</x:v>
      </x:c>
    </x:row>
    <x:row r="29" ht="15" hidden="0">
      <x:c r="A29" s="10" t="s">
        <x:v>254</x:v>
      </x:c>
      <x:c r="B29" s="10" t="s">
        <x:v>244</x:v>
      </x:c>
      <x:c r="C29" s="10" t="n">
        <x:v>24</x:v>
      </x:c>
      <x:c r="D29" s="10" t="n">
        <x:v>2</x:v>
      </x:c>
      <x:c r="E29" s="11" t="n">
        <x:f aca="0">ROUND(C29-0.6495*D29,3)</x:f>
        <x:v>22.701</x:v>
      </x:c>
      <x:c r="F29" s="11" t="n">
        <x:f aca="0">ROUND(C29-1.2269*D29,3)</x:f>
        <x:v>21.546</x:v>
      </x:c>
      <x:c r="G29" s="11" t="n">
        <x:f aca="0">ROUND(PI()/4*((E29+F29)/2)^2,1)</x:f>
        <x:v>384.4</x:v>
      </x:c>
      <x:c r="H29" s="10" t="n">
        <x:v>384</x:v>
      </x:c>
      <x:c r="I29" s="12" t="n">
        <x:v>2</x:v>
      </x:c>
      <x:c r="J29" s="10" t="s">
        <x:v>76</x:v>
      </x:c>
      <x:c r="K29" s="13" t="s">
        <x:v>228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6" hidden="0" customWidth="1"/>
    <x:col min="3" max="4" width="12" hidden="0" customWidth="1"/>
    <x:col min="5" max="7" width="14" hidden="0" customWidth="1"/>
    <x:col min="8" max="8" width="20" hidden="0" customWidth="1"/>
    <x:col min="9" max="9" width="8" hidden="0" customWidth="1"/>
    <x:col min="10" max="10" width="12" hidden="0" customWidth="1"/>
    <x:col min="11" max="11" width="40" hidden="0" customWidth="1"/>
  </x:cols>
  <x:sheetData>
    <x:row r="1" ht="16.149999618530273" hidden="0">
      <x:c r="A1" s="1" t="s">
        <x:v>255</x:v>
      </x:c>
    </x:row>
    <x:row r="3" ht="23.850000381469727" hidden="0">
      <x:c r="A3" s="9" t="s">
        <x:v>256</x:v>
      </x:c>
      <x:c r="B3" s="9" t="s">
        <x:v>257</x:v>
      </x:c>
      <x:c r="C3" s="9" t="s">
        <x:v>258</x:v>
      </x:c>
      <x:c r="D3" s="9" t="s">
        <x:v>259</x:v>
      </x:c>
      <x:c r="E3" s="9" t="s">
        <x:v>260</x:v>
      </x:c>
      <x:c r="F3" s="9" t="s">
        <x:v>261</x:v>
      </x:c>
      <x:c r="G3" s="9" t="s">
        <x:v>262</x:v>
      </x:c>
      <x:c r="H3" s="9" t="s">
        <x:v>263</x:v>
      </x:c>
      <x:c r="I3" s="9" t="s">
        <x:v>225</x:v>
      </x:c>
      <x:c r="J3" s="9" t="s">
        <x:v>36</x:v>
      </x:c>
      <x:c r="K3" s="9" t="s">
        <x:v>41</x:v>
      </x:c>
    </x:row>
    <x:row r="4" ht="15" hidden="0">
      <x:c r="A4" s="10" t="s">
        <x:v>264</x:v>
      </x:c>
      <x:c r="B4" s="10" t="s">
        <x:v>90</x:v>
      </x:c>
      <x:c r="C4" s="10" t="n">
        <x:v>400</x:v>
      </x:c>
      <x:c r="D4" s="10" t="n">
        <x:v>400</x:v>
      </x:c>
      <x:c r="E4" s="10" t="n">
        <x:v>240</x:v>
      </x:c>
      <x:c r="F4" s="10" t="n">
        <x:v>240</x:v>
      </x:c>
      <x:c r="G4" s="10" t="s">
        <x:v>265</x:v>
      </x:c>
      <x:c r="H4" s="10" t="s">
        <x:v>266</x:v>
      </x:c>
      <x:c r="I4" s="14" t="n">
        <x:v>3</x:v>
      </x:c>
      <x:c r="J4" s="10" t="s">
        <x:v>48</x:v>
      </x:c>
      <x:c r="K4" s="10" t="s">
        <x:v>267</x:v>
      </x:c>
    </x:row>
    <x:row r="5" ht="15" hidden="0">
      <x:c r="A5" s="10" t="s">
        <x:v>268</x:v>
      </x:c>
      <x:c r="B5" s="10" t="s">
        <x:v>90</x:v>
      </x:c>
      <x:c r="C5" s="10" t="n">
        <x:v>400</x:v>
      </x:c>
      <x:c r="D5" s="10" t="n">
        <x:v>420</x:v>
      </x:c>
      <x:c r="E5" s="10" t="n">
        <x:v>320</x:v>
      </x:c>
      <x:c r="F5" s="10" t="n">
        <x:v>340</x:v>
      </x:c>
      <x:c r="G5" s="10" t="s">
        <x:v>269</x:v>
      </x:c>
      <x:c r="H5" s="10" t="s">
        <x:v>270</x:v>
      </x:c>
      <x:c r="I5" s="14" t="n">
        <x:v>3</x:v>
      </x:c>
      <x:c r="J5" s="10" t="s">
        <x:v>48</x:v>
      </x:c>
      <x:c r="K5" s="10"/>
    </x:row>
    <x:row r="6" ht="15" hidden="0">
      <x:c r="A6" s="10" t="s">
        <x:v>271</x:v>
      </x:c>
      <x:c r="B6" s="10" t="s">
        <x:v>90</x:v>
      </x:c>
      <x:c r="C6" s="10" t="n">
        <x:v>500</x:v>
      </x:c>
      <x:c r="D6" s="10" t="n">
        <x:v>500</x:v>
      </x:c>
      <x:c r="E6" s="10" t="n">
        <x:v>300</x:v>
      </x:c>
      <x:c r="F6" s="10" t="n">
        <x:v>300</x:v>
      </x:c>
      <x:c r="G6" s="10" t="s">
        <x:v>272</x:v>
      </x:c>
      <x:c r="H6" s="10" t="s">
        <x:v>266</x:v>
      </x:c>
      <x:c r="I6" s="14" t="n">
        <x:v>3</x:v>
      </x:c>
      <x:c r="J6" s="10" t="s">
        <x:v>48</x:v>
      </x:c>
      <x:c r="K6" s="10"/>
    </x:row>
    <x:row r="7" ht="15" hidden="0">
      <x:c r="A7" s="10" t="s">
        <x:v>273</x:v>
      </x:c>
      <x:c r="B7" s="10" t="s">
        <x:v>90</x:v>
      </x:c>
      <x:c r="C7" s="10" t="n">
        <x:v>500</x:v>
      </x:c>
      <x:c r="D7" s="10" t="n">
        <x:v>520</x:v>
      </x:c>
      <x:c r="E7" s="10" t="n">
        <x:v>400</x:v>
      </x:c>
      <x:c r="F7" s="10" t="n">
        <x:v>420</x:v>
      </x:c>
      <x:c r="G7" s="10" t="s">
        <x:v>274</x:v>
      </x:c>
      <x:c r="H7" s="10" t="s">
        <x:v>275</x:v>
      </x:c>
      <x:c r="I7" s="14" t="n">
        <x:v>3</x:v>
      </x:c>
      <x:c r="J7" s="10" t="s">
        <x:v>48</x:v>
      </x:c>
      <x:c r="K7" s="10"/>
    </x:row>
    <x:row r="8" ht="15" hidden="0">
      <x:c r="A8" s="10" t="s">
        <x:v>276</x:v>
      </x:c>
      <x:c r="B8" s="10" t="s">
        <x:v>90</x:v>
      </x:c>
      <x:c r="C8" s="10" t="n">
        <x:v>600</x:v>
      </x:c>
      <x:c r="D8" s="10" t="n">
        <x:v>600</x:v>
      </x:c>
      <x:c r="E8" s="10" t="n">
        <x:v>480</x:v>
      </x:c>
      <x:c r="F8" s="10" t="n">
        <x:v>480</x:v>
      </x:c>
      <x:c r="G8" s="10" t="s">
        <x:v>277</x:v>
      </x:c>
      <x:c r="H8" s="10" t="s">
        <x:v>266</x:v>
      </x:c>
      <x:c r="I8" s="14" t="n">
        <x:v>3</x:v>
      </x:c>
      <x:c r="J8" s="10" t="s">
        <x:v>48</x:v>
      </x:c>
      <x:c r="K8" s="10"/>
    </x:row>
    <x:row r="9" ht="15" hidden="0">
      <x:c r="A9" s="10" t="s">
        <x:v>278</x:v>
      </x:c>
      <x:c r="B9" s="10" t="s">
        <x:v>90</x:v>
      </x:c>
      <x:c r="C9" s="10" t="n">
        <x:v>800</x:v>
      </x:c>
      <x:c r="D9" s="10" t="n">
        <x:v>800</x:v>
      </x:c>
      <x:c r="E9" s="10" t="n">
        <x:v>640</x:v>
      </x:c>
      <x:c r="F9" s="10" t="n">
        <x:v>640</x:v>
      </x:c>
      <x:c r="G9" s="10" t="s">
        <x:v>279</x:v>
      </x:c>
      <x:c r="H9" s="10" t="s">
        <x:v>270</x:v>
      </x:c>
      <x:c r="I9" s="14" t="n">
        <x:v>3</x:v>
      </x:c>
      <x:c r="J9" s="10" t="s">
        <x:v>48</x:v>
      </x:c>
      <x:c r="K9" s="10" t="s">
        <x:v>280</x:v>
      </x:c>
    </x:row>
    <x:row r="10" ht="15" hidden="0">
      <x:c r="A10" s="10" t="s">
        <x:v>281</x:v>
      </x:c>
      <x:c r="B10" s="10" t="s">
        <x:v>90</x:v>
      </x:c>
      <x:c r="C10" s="10" t="n">
        <x:v>800</x:v>
      </x:c>
      <x:c r="D10" s="10" t="n">
        <x:v>830</x:v>
      </x:c>
      <x:c r="E10" s="10" t="n">
        <x:v>640</x:v>
      </x:c>
      <x:c r="F10" s="10" t="n">
        <x:v>660</x:v>
      </x:c>
      <x:c r="G10" s="10" t="s">
        <x:v>282</x:v>
      </x:c>
      <x:c r="H10" s="10" t="s">
        <x:v>283</x:v>
      </x:c>
      <x:c r="I10" s="14" t="n">
        <x:v>3</x:v>
      </x:c>
      <x:c r="J10" s="10" t="s">
        <x:v>48</x:v>
      </x:c>
      <x:c r="K10" s="10" t="s">
        <x:v>284</x:v>
      </x:c>
    </x:row>
    <x:row r="11" ht="15" hidden="0">
      <x:c r="A11" s="10" t="s">
        <x:v>285</x:v>
      </x:c>
      <x:c r="B11" s="10" t="s">
        <x:v>90</x:v>
      </x:c>
      <x:c r="C11" s="10" t="n">
        <x:v>900</x:v>
      </x:c>
      <x:c r="D11" s="10" t="n">
        <x:v>900</x:v>
      </x:c>
      <x:c r="E11" s="10" t="n">
        <x:v>720</x:v>
      </x:c>
      <x:c r="F11" s="10" t="n">
        <x:v>720</x:v>
      </x:c>
      <x:c r="G11" s="10" t="s">
        <x:v>286</x:v>
      </x:c>
      <x:c r="H11" s="10" t="s">
        <x:v>270</x:v>
      </x:c>
      <x:c r="I11" s="14" t="n">
        <x:v>3</x:v>
      </x:c>
      <x:c r="J11" s="10" t="s">
        <x:v>48</x:v>
      </x:c>
      <x:c r="K11" s="10"/>
    </x:row>
    <x:row r="12" ht="15" hidden="0">
      <x:c r="A12" s="10" t="s">
        <x:v>287</x:v>
      </x:c>
      <x:c r="B12" s="10" t="s">
        <x:v>90</x:v>
      </x:c>
      <x:c r="C12" s="10" t="n">
        <x:v>1000</x:v>
      </x:c>
      <x:c r="D12" s="10" t="n">
        <x:v>1040</x:v>
      </x:c>
      <x:c r="E12" s="10" t="n">
        <x:v>900</x:v>
      </x:c>
      <x:c r="F12" s="10" t="n">
        <x:v>940</x:v>
      </x:c>
      <x:c r="G12" s="10" t="s">
        <x:v>288</x:v>
      </x:c>
      <x:c r="H12" s="10" t="s">
        <x:v>266</x:v>
      </x:c>
      <x:c r="I12" s="14" t="n">
        <x:v>3</x:v>
      </x:c>
      <x:c r="J12" s="10" t="s">
        <x:v>48</x:v>
      </x:c>
      <x:c r="K12" s="10"/>
    </x:row>
    <x:row r="13" ht="15" hidden="0">
      <x:c r="A13" s="10" t="s">
        <x:v>289</x:v>
      </x:c>
      <x:c r="B13" s="10" t="s">
        <x:v>90</x:v>
      </x:c>
      <x:c r="C13" s="10" t="n">
        <x:v>1200</x:v>
      </x:c>
      <x:c r="D13" s="10" t="n">
        <x:v>1220</x:v>
      </x:c>
      <x:c r="E13" s="10" t="n">
        <x:v>1080</x:v>
      </x:c>
      <x:c r="F13" s="10" t="n">
        <x:v>1100</x:v>
      </x:c>
      <x:c r="G13" s="10" t="s">
        <x:v>290</x:v>
      </x:c>
      <x:c r="H13" s="10" t="s">
        <x:v>266</x:v>
      </x:c>
      <x:c r="I13" s="14" t="n">
        <x:v>3</x:v>
      </x:c>
      <x:c r="J13" s="10" t="s">
        <x:v>48</x:v>
      </x:c>
      <x:c r="K13" s="10" t="s">
        <x:v>291</x:v>
      </x:c>
    </x:row>
    <x:row r="14" ht="15" hidden="0">
      <x:c r="A14" s="10" t="s">
        <x:v>292</x:v>
      </x:c>
      <x:c r="B14" s="10" t="s">
        <x:v>293</x:v>
      </x:c>
      <x:c r="C14" s="10" t="n">
        <x:v>700</x:v>
      </x:c>
      <x:c r="D14" s="10" t="n">
        <x:v>700</x:v>
      </x:c>
      <x:c r="E14" s="10" t="n">
        <x:v>450</x:v>
      </x:c>
      <x:c r="F14" s="10" t="n">
        <x:v>450</x:v>
      </x:c>
      <x:c r="G14" s="10" t="s">
        <x:v>45</x:v>
      </x:c>
      <x:c r="H14" s="10" t="s">
        <x:v>294</x:v>
      </x:c>
      <x:c r="I14" s="14" t="n">
        <x:v>3</x:v>
      </x:c>
      <x:c r="J14" s="10" t="s">
        <x:v>48</x:v>
      </x:c>
      <x:c r="K14" s="10" t="s">
        <x:v>198</x:v>
      </x:c>
    </x:row>
    <x:row r="15" ht="15" hidden="0">
      <x:c r="A15" s="10" t="s">
        <x:v>295</x:v>
      </x:c>
      <x:c r="B15" s="10" t="s">
        <x:v>293</x:v>
      </x:c>
      <x:c r="C15" s="10" t="n">
        <x:v>800</x:v>
      </x:c>
      <x:c r="D15" s="10" t="n">
        <x:v>800</x:v>
      </x:c>
      <x:c r="E15" s="10" t="n">
        <x:v>600</x:v>
      </x:c>
      <x:c r="F15" s="10" t="n">
        <x:v>600</x:v>
      </x:c>
      <x:c r="G15" s="10" t="s">
        <x:v>45</x:v>
      </x:c>
      <x:c r="H15" s="10" t="s">
        <x:v>294</x:v>
      </x:c>
      <x:c r="I15" s="14" t="n">
        <x:v>3</x:v>
      </x:c>
      <x:c r="J15" s="10" t="s">
        <x:v>48</x:v>
      </x:c>
      <x:c r="K15" s="10" t="s">
        <x:v>198</x:v>
      </x:c>
    </x:row>
    <x:row r="16" ht="15" hidden="0">
      <x:c r="A16" s="15" t="s">
        <x:v>296</x:v>
      </x:c>
      <x:c r="B16" s="10" t="s">
        <x:v>117</x:v>
      </x:c>
      <x:c r="C16" s="10" t="s">
        <x:v>45</x:v>
      </x:c>
      <x:c r="D16" s="10" t="s">
        <x:v>45</x:v>
      </x:c>
      <x:c r="E16" s="10" t="s">
        <x:v>45</x:v>
      </x:c>
      <x:c r="F16" s="10" t="s">
        <x:v>45</x:v>
      </x:c>
      <x:c r="G16" s="10" t="s">
        <x:v>45</x:v>
      </x:c>
      <x:c r="H16" s="10" t="str">
        <x:v>Bkz. Somun_Proof_Load</x:v>
      </x:c>
      <x:c r="I16" s="16" t="n">
        <x:v>1</x:v>
      </x:c>
      <x:c r="J16" s="10" t="s">
        <x:v>48</x:v>
      </x:c>
      <x:c r="K16" s="10" t="str">
        <x:v>ISO 898-2 proof-load değerleri çap/hatve/stil bazlıdır; tek hücreye indirgenmemiştir</x:v>
      </x:c>
    </x:row>
    <x:row r="17" ht="15" hidden="0">
      <x:c r="A17" s="15" t="s">
        <x:v>297</x:v>
      </x:c>
      <x:c r="B17" s="10" t="s">
        <x:v>117</x:v>
      </x:c>
      <x:c r="C17" s="10" t="s">
        <x:v>45</x:v>
      </x:c>
      <x:c r="D17" s="10" t="s">
        <x:v>45</x:v>
      </x:c>
      <x:c r="E17" s="10" t="s">
        <x:v>45</x:v>
      </x:c>
      <x:c r="F17" s="10" t="s">
        <x:v>45</x:v>
      </x:c>
      <x:c r="G17" s="10" t="s">
        <x:v>45</x:v>
      </x:c>
      <x:c r="H17" s="10" t="str">
        <x:v>Bkz. Somun_Proof_Load</x:v>
      </x:c>
      <x:c r="I17" s="16" t="n">
        <x:v>1</x:v>
      </x:c>
      <x:c r="J17" s="10" t="s">
        <x:v>48</x:v>
      </x:c>
      <x:c r="K17" s="10" t="str">
        <x:v>ISO 898-2 proof-load değerleri çap/hatve/stil bazlıdır; tek hücreye indirgenmemiştir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3" hidden="0" customWidth="1"/>
    <x:col min="3" max="3" width="12" hidden="0" customWidth="1"/>
    <x:col min="4" max="4" width="16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20" hidden="0" customWidth="1"/>
    <x:col min="10" max="10" width="8" hidden="0" customWidth="1"/>
    <x:col min="11" max="11" width="12" hidden="0" customWidth="1"/>
    <x:col min="12" max="12" width="14" hidden="0" customWidth="1"/>
    <x:col min="13" max="13" width="12" hidden="0" customWidth="1"/>
    <x:col min="14" max="14" width="36" hidden="0" customWidth="1"/>
  </x:cols>
  <x:sheetData>
    <x:row r="1" ht="16.149999618530273" hidden="0">
      <x:c r="A1" s="1" t="s">
        <x:v>298</x:v>
      </x:c>
    </x:row>
    <x:row r="3" ht="23.850000381469727" hidden="0">
      <x:c r="A3" s="9" t="s">
        <x:v>299</x:v>
      </x:c>
      <x:c r="B3" s="9" t="s">
        <x:v>82</x:v>
      </x:c>
      <x:c r="C3" s="9" t="s">
        <x:v>217</x:v>
      </x:c>
      <x:c r="D3" s="9" t="s">
        <x:v>300</x:v>
      </x:c>
      <x:c r="E3" s="9" t="s">
        <x:v>301</x:v>
      </x:c>
      <x:c r="F3" s="9" t="s">
        <x:v>302</x:v>
      </x:c>
      <x:c r="G3" s="9" t="s">
        <x:v>303</x:v>
      </x:c>
      <x:c r="H3" s="9" t="s">
        <x:v>304</x:v>
      </x:c>
      <x:c r="I3" s="9" t="s">
        <x:v>305</x:v>
      </x:c>
      <x:c r="J3" s="9" t="s">
        <x:v>225</x:v>
      </x:c>
      <x:c r="K3" s="9" t="s">
        <x:v>36</x:v>
      </x:c>
      <x:c r="L3" s="9" t="s">
        <x:v>306</x:v>
      </x:c>
      <x:c r="M3" s="9" t="s">
        <x:v>307</x:v>
      </x:c>
      <x:c r="N3" s="9" t="s">
        <x:v>41</x:v>
      </x:c>
    </x:row>
    <x:row r="4" ht="15" hidden="0">
      <x:c r="A4" s="10" t="s">
        <x:v>308</x:v>
      </x:c>
      <x:c r="B4" s="10" t="s">
        <x:v>96</x:v>
      </x:c>
      <x:c r="C4" s="10" t="s">
        <x:v>230</x:v>
      </x:c>
      <x:c r="D4" s="10" t="n">
        <x:v>8</x:v>
      </x:c>
      <x:c r="E4" s="10" t="s">
        <x:v>45</x:v>
      </x:c>
      <x:c r="F4" s="10" t="n">
        <x:v>3.5</x:v>
      </x:c>
      <x:c r="G4" s="10" t="s">
        <x:v>309</x:v>
      </x:c>
      <x:c r="H4" s="10" t="s">
        <x:v>45</x:v>
      </x:c>
      <x:c r="I4" s="10" t="n">
        <x:v>6.9</x:v>
      </x:c>
      <x:c r="J4" s="14" t="n">
        <x:v>3</x:v>
      </x:c>
      <x:c r="K4" s="10" t="s">
        <x:v>52</x:v>
      </x:c>
      <x:c r="L4" s="10"/>
      <x:c r="M4" s="10"/>
      <x:c r="N4" s="10" t="s">
        <x:v>310</x:v>
      </x:c>
    </x:row>
    <x:row r="5" ht="15" hidden="0">
      <x:c r="A5" s="10" t="s">
        <x:v>311</x:v>
      </x:c>
      <x:c r="B5" s="10" t="s">
        <x:v>96</x:v>
      </x:c>
      <x:c r="C5" s="10" t="s">
        <x:v>231</x:v>
      </x:c>
      <x:c r="D5" s="10" t="n">
        <x:v>10</x:v>
      </x:c>
      <x:c r="E5" s="10" t="s">
        <x:v>45</x:v>
      </x:c>
      <x:c r="F5" s="10" t="n">
        <x:v>4</x:v>
      </x:c>
      <x:c r="G5" s="10" t="s">
        <x:v>309</x:v>
      </x:c>
      <x:c r="H5" s="10" t="s">
        <x:v>45</x:v>
      </x:c>
      <x:c r="I5" s="10" t="n">
        <x:v>8.9</x:v>
      </x:c>
      <x:c r="J5" s="14" t="n">
        <x:v>3</x:v>
      </x:c>
      <x:c r="K5" s="10" t="s">
        <x:v>52</x:v>
      </x:c>
      <x:c r="L5" s="10"/>
      <x:c r="M5" s="10"/>
      <x:c r="N5" s="10" t="s">
        <x:v>310</x:v>
      </x:c>
    </x:row>
    <x:row r="6" ht="15" hidden="0">
      <x:c r="A6" s="10" t="s">
        <x:v>312</x:v>
      </x:c>
      <x:c r="B6" s="10" t="s">
        <x:v>96</x:v>
      </x:c>
      <x:c r="C6" s="10" t="s">
        <x:v>232</x:v>
      </x:c>
      <x:c r="D6" s="10" t="n">
        <x:v>13</x:v>
      </x:c>
      <x:c r="E6" s="10" t="s">
        <x:v>45</x:v>
      </x:c>
      <x:c r="F6" s="10" t="n">
        <x:v>5.3</x:v>
      </x:c>
      <x:c r="G6" s="10" t="s">
        <x:v>309</x:v>
      </x:c>
      <x:c r="H6" s="10" t="s">
        <x:v>45</x:v>
      </x:c>
      <x:c r="I6" s="10" t="n">
        <x:v>11.6</x:v>
      </x:c>
      <x:c r="J6" s="14" t="n">
        <x:v>3</x:v>
      </x:c>
      <x:c r="K6" s="10" t="s">
        <x:v>52</x:v>
      </x:c>
      <x:c r="L6" s="10"/>
      <x:c r="M6" s="10"/>
      <x:c r="N6" s="10" t="s">
        <x:v>310</x:v>
      </x:c>
    </x:row>
    <x:row r="7" ht="15" hidden="0">
      <x:c r="A7" s="10" t="s">
        <x:v>313</x:v>
      </x:c>
      <x:c r="B7" s="10" t="s">
        <x:v>96</x:v>
      </x:c>
      <x:c r="C7" s="10" t="s">
        <x:v>233</x:v>
      </x:c>
      <x:c r="D7" s="10" t="n">
        <x:v>16</x:v>
      </x:c>
      <x:c r="E7" s="10" t="s">
        <x:v>45</x:v>
      </x:c>
      <x:c r="F7" s="10" t="n">
        <x:v>6.4</x:v>
      </x:c>
      <x:c r="G7" s="10" t="s">
        <x:v>309</x:v>
      </x:c>
      <x:c r="H7" s="10" t="s">
        <x:v>45</x:v>
      </x:c>
      <x:c r="I7" s="10" t="n">
        <x:v>14.6</x:v>
      </x:c>
      <x:c r="J7" s="14" t="n">
        <x:v>3</x:v>
      </x:c>
      <x:c r="K7" s="10" t="s">
        <x:v>52</x:v>
      </x:c>
      <x:c r="L7" s="10"/>
      <x:c r="M7" s="10"/>
      <x:c r="N7" s="10" t="s">
        <x:v>310</x:v>
      </x:c>
    </x:row>
    <x:row r="8" ht="15" hidden="0">
      <x:c r="A8" s="10" t="s">
        <x:v>314</x:v>
      </x:c>
      <x:c r="B8" s="10" t="s">
        <x:v>96</x:v>
      </x:c>
      <x:c r="C8" s="10" t="s">
        <x:v>234</x:v>
      </x:c>
      <x:c r="D8" s="10" t="n">
        <x:v>18</x:v>
      </x:c>
      <x:c r="E8" s="10" t="s">
        <x:v>45</x:v>
      </x:c>
      <x:c r="F8" s="10" t="n">
        <x:v>7.5</x:v>
      </x:c>
      <x:c r="G8" s="10" t="s">
        <x:v>309</x:v>
      </x:c>
      <x:c r="H8" s="10" t="s">
        <x:v>45</x:v>
      </x:c>
      <x:c r="I8" s="10" t="n">
        <x:v>16.6</x:v>
      </x:c>
      <x:c r="J8" s="14" t="n">
        <x:v>3</x:v>
      </x:c>
      <x:c r="K8" s="10" t="s">
        <x:v>52</x:v>
      </x:c>
      <x:c r="L8" s="10"/>
      <x:c r="M8" s="10"/>
      <x:c r="N8" s="10" t="s">
        <x:v>310</x:v>
      </x:c>
    </x:row>
    <x:row r="9" ht="15" hidden="0">
      <x:c r="A9" s="10" t="s">
        <x:v>315</x:v>
      </x:c>
      <x:c r="B9" s="10" t="s">
        <x:v>96</x:v>
      </x:c>
      <x:c r="C9" s="10" t="s">
        <x:v>235</x:v>
      </x:c>
      <x:c r="D9" s="10" t="n">
        <x:v>21</x:v>
      </x:c>
      <x:c r="E9" s="10" t="s">
        <x:v>45</x:v>
      </x:c>
      <x:c r="F9" s="10" t="n">
        <x:v>8.8</x:v>
      </x:c>
      <x:c r="G9" s="10" t="s">
        <x:v>309</x:v>
      </x:c>
      <x:c r="H9" s="10" t="s">
        <x:v>45</x:v>
      </x:c>
      <x:c r="I9" s="10" t="n">
        <x:v>19.6</x:v>
      </x:c>
      <x:c r="J9" s="14" t="n">
        <x:v>3</x:v>
      </x:c>
      <x:c r="K9" s="10" t="s">
        <x:v>52</x:v>
      </x:c>
      <x:c r="L9" s="10"/>
      <x:c r="M9" s="10"/>
      <x:c r="N9" s="10" t="s">
        <x:v>310</x:v>
      </x:c>
    </x:row>
    <x:row r="10" ht="15" hidden="0">
      <x:c r="A10" s="10" t="s">
        <x:v>316</x:v>
      </x:c>
      <x:c r="B10" s="10" t="s">
        <x:v>96</x:v>
      </x:c>
      <x:c r="C10" s="10" t="s">
        <x:v>236</x:v>
      </x:c>
      <x:c r="D10" s="10" t="n">
        <x:v>24</x:v>
      </x:c>
      <x:c r="E10" s="10" t="s">
        <x:v>45</x:v>
      </x:c>
      <x:c r="F10" s="10" t="n">
        <x:v>10</x:v>
      </x:c>
      <x:c r="G10" s="10" t="s">
        <x:v>309</x:v>
      </x:c>
      <x:c r="H10" s="10" t="s">
        <x:v>45</x:v>
      </x:c>
      <x:c r="I10" s="10" t="n">
        <x:v>22.5</x:v>
      </x:c>
      <x:c r="J10" s="14" t="n">
        <x:v>3</x:v>
      </x:c>
      <x:c r="K10" s="10" t="s">
        <x:v>52</x:v>
      </x:c>
      <x:c r="L10" s="10"/>
      <x:c r="M10" s="10"/>
      <x:c r="N10" s="10" t="s">
        <x:v>310</x:v>
      </x:c>
    </x:row>
    <x:row r="11" ht="15" hidden="0">
      <x:c r="A11" s="10" t="s">
        <x:v>317</x:v>
      </x:c>
      <x:c r="B11" s="10" t="s">
        <x:v>96</x:v>
      </x:c>
      <x:c r="C11" s="10" t="s">
        <x:v>238</x:v>
      </x:c>
      <x:c r="D11" s="10" t="n">
        <x:v>30</x:v>
      </x:c>
      <x:c r="E11" s="10" t="s">
        <x:v>45</x:v>
      </x:c>
      <x:c r="F11" s="10" t="n">
        <x:v>12.5</x:v>
      </x:c>
      <x:c r="G11" s="10" t="s">
        <x:v>309</x:v>
      </x:c>
      <x:c r="H11" s="10" t="s">
        <x:v>45</x:v>
      </x:c>
      <x:c r="I11" s="10" t="n">
        <x:v>28.2</x:v>
      </x:c>
      <x:c r="J11" s="14" t="n">
        <x:v>3</x:v>
      </x:c>
      <x:c r="K11" s="10" t="s">
        <x:v>52</x:v>
      </x:c>
      <x:c r="L11" s="10"/>
      <x:c r="M11" s="10"/>
      <x:c r="N11" s="10" t="s">
        <x:v>310</x:v>
      </x:c>
    </x:row>
    <x:row r="12" ht="15" hidden="0">
      <x:c r="A12" s="10" t="s">
        <x:v>318</x:v>
      </x:c>
      <x:c r="B12" s="10" t="s">
        <x:v>96</x:v>
      </x:c>
      <x:c r="C12" s="10" t="s">
        <x:v>240</x:v>
      </x:c>
      <x:c r="D12" s="10" t="n">
        <x:v>36</x:v>
      </x:c>
      <x:c r="E12" s="10" t="s">
        <x:v>45</x:v>
      </x:c>
      <x:c r="F12" s="10" t="n">
        <x:v>15</x:v>
      </x:c>
      <x:c r="G12" s="10" t="s">
        <x:v>309</x:v>
      </x:c>
      <x:c r="H12" s="10" t="s">
        <x:v>45</x:v>
      </x:c>
      <x:c r="I12" s="10" t="n">
        <x:v>33.6</x:v>
      </x:c>
      <x:c r="J12" s="14" t="n">
        <x:v>3</x:v>
      </x:c>
      <x:c r="K12" s="10" t="s">
        <x:v>52</x:v>
      </x:c>
      <x:c r="L12" s="10"/>
      <x:c r="M12" s="10"/>
      <x:c r="N12" s="10" t="s">
        <x:v>310</x:v>
      </x:c>
    </x:row>
    <x:row r="13" ht="15" hidden="0">
      <x:c r="A13" s="10" t="s">
        <x:v>319</x:v>
      </x:c>
      <x:c r="B13" s="10" t="s">
        <x:v>89</x:v>
      </x:c>
      <x:c r="C13" s="10" t="s">
        <x:v>230</x:v>
      </x:c>
      <x:c r="D13" s="10" t="n">
        <x:v>8</x:v>
      </x:c>
      <x:c r="E13" s="10" t="s">
        <x:v>45</x:v>
      </x:c>
      <x:c r="F13" s="10" t="n">
        <x:v>3.5</x:v>
      </x:c>
      <x:c r="G13" s="10" t="s">
        <x:v>309</x:v>
      </x:c>
      <x:c r="H13" s="10" t="s">
        <x:v>45</x:v>
      </x:c>
      <x:c r="I13" s="10" t="n">
        <x:v>6.9</x:v>
      </x:c>
      <x:c r="J13" s="14" t="n">
        <x:v>3</x:v>
      </x:c>
      <x:c r="K13" s="10" t="s">
        <x:v>52</x:v>
      </x:c>
      <x:c r="L13" s="10"/>
      <x:c r="M13" s="10"/>
      <x:c r="N13" s="10" t="s">
        <x:v>320</x:v>
      </x:c>
    </x:row>
    <x:row r="14" ht="15" hidden="0">
      <x:c r="A14" s="10" t="s">
        <x:v>321</x:v>
      </x:c>
      <x:c r="B14" s="10" t="s">
        <x:v>89</x:v>
      </x:c>
      <x:c r="C14" s="10" t="s">
        <x:v>231</x:v>
      </x:c>
      <x:c r="D14" s="10" t="n">
        <x:v>10</x:v>
      </x:c>
      <x:c r="E14" s="10" t="s">
        <x:v>45</x:v>
      </x:c>
      <x:c r="F14" s="10" t="n">
        <x:v>4</x:v>
      </x:c>
      <x:c r="G14" s="10" t="s">
        <x:v>309</x:v>
      </x:c>
      <x:c r="H14" s="10" t="s">
        <x:v>45</x:v>
      </x:c>
      <x:c r="I14" s="10" t="n">
        <x:v>8.9</x:v>
      </x:c>
      <x:c r="J14" s="14" t="n">
        <x:v>3</x:v>
      </x:c>
      <x:c r="K14" s="10" t="s">
        <x:v>52</x:v>
      </x:c>
      <x:c r="L14" s="10"/>
      <x:c r="M14" s="10"/>
      <x:c r="N14" s="10" t="s">
        <x:v>320</x:v>
      </x:c>
    </x:row>
    <x:row r="15" ht="15" hidden="0">
      <x:c r="A15" s="10" t="s">
        <x:v>322</x:v>
      </x:c>
      <x:c r="B15" s="10" t="s">
        <x:v>89</x:v>
      </x:c>
      <x:c r="C15" s="10" t="s">
        <x:v>232</x:v>
      </x:c>
      <x:c r="D15" s="10" t="n">
        <x:v>13</x:v>
      </x:c>
      <x:c r="E15" s="10" t="s">
        <x:v>45</x:v>
      </x:c>
      <x:c r="F15" s="10" t="n">
        <x:v>5.3</x:v>
      </x:c>
      <x:c r="G15" s="10" t="s">
        <x:v>309</x:v>
      </x:c>
      <x:c r="H15" s="10" t="s">
        <x:v>45</x:v>
      </x:c>
      <x:c r="I15" s="10" t="n">
        <x:v>11.6</x:v>
      </x:c>
      <x:c r="J15" s="14" t="n">
        <x:v>3</x:v>
      </x:c>
      <x:c r="K15" s="10" t="s">
        <x:v>52</x:v>
      </x:c>
      <x:c r="L15" s="10"/>
      <x:c r="M15" s="10"/>
      <x:c r="N15" s="10" t="s">
        <x:v>320</x:v>
      </x:c>
    </x:row>
    <x:row r="16" ht="15" hidden="0">
      <x:c r="A16" s="10" t="s">
        <x:v>323</x:v>
      </x:c>
      <x:c r="B16" s="10" t="s">
        <x:v>89</x:v>
      </x:c>
      <x:c r="C16" s="10" t="s">
        <x:v>233</x:v>
      </x:c>
      <x:c r="D16" s="10" t="n">
        <x:v>16</x:v>
      </x:c>
      <x:c r="E16" s="10" t="s">
        <x:v>45</x:v>
      </x:c>
      <x:c r="F16" s="10" t="n">
        <x:v>6.4</x:v>
      </x:c>
      <x:c r="G16" s="10" t="s">
        <x:v>309</x:v>
      </x:c>
      <x:c r="H16" s="10" t="s">
        <x:v>45</x:v>
      </x:c>
      <x:c r="I16" s="10" t="n">
        <x:v>14.6</x:v>
      </x:c>
      <x:c r="J16" s="14" t="n">
        <x:v>3</x:v>
      </x:c>
      <x:c r="K16" s="10" t="s">
        <x:v>52</x:v>
      </x:c>
      <x:c r="L16" s="10"/>
      <x:c r="M16" s="10"/>
      <x:c r="N16" s="10" t="s">
        <x:v>320</x:v>
      </x:c>
    </x:row>
    <x:row r="17" ht="15" hidden="0">
      <x:c r="A17" s="10" t="s">
        <x:v>324</x:v>
      </x:c>
      <x:c r="B17" s="10" t="s">
        <x:v>89</x:v>
      </x:c>
      <x:c r="C17" s="10" t="s">
        <x:v>234</x:v>
      </x:c>
      <x:c r="D17" s="10" t="n">
        <x:v>18</x:v>
      </x:c>
      <x:c r="E17" s="10" t="s">
        <x:v>45</x:v>
      </x:c>
      <x:c r="F17" s="10" t="n">
        <x:v>7.5</x:v>
      </x:c>
      <x:c r="G17" s="10" t="s">
        <x:v>309</x:v>
      </x:c>
      <x:c r="H17" s="10" t="s">
        <x:v>45</x:v>
      </x:c>
      <x:c r="I17" s="10" t="n">
        <x:v>16.6</x:v>
      </x:c>
      <x:c r="J17" s="14" t="n">
        <x:v>3</x:v>
      </x:c>
      <x:c r="K17" s="10" t="s">
        <x:v>52</x:v>
      </x:c>
      <x:c r="L17" s="10"/>
      <x:c r="M17" s="10"/>
      <x:c r="N17" s="10" t="s">
        <x:v>320</x:v>
      </x:c>
    </x:row>
    <x:row r="18" ht="15" hidden="0">
      <x:c r="A18" s="10" t="s">
        <x:v>325</x:v>
      </x:c>
      <x:c r="B18" s="10" t="s">
        <x:v>89</x:v>
      </x:c>
      <x:c r="C18" s="10" t="s">
        <x:v>235</x:v>
      </x:c>
      <x:c r="D18" s="10" t="n">
        <x:v>21</x:v>
      </x:c>
      <x:c r="E18" s="10" t="s">
        <x:v>45</x:v>
      </x:c>
      <x:c r="F18" s="10" t="n">
        <x:v>8.8</x:v>
      </x:c>
      <x:c r="G18" s="10" t="s">
        <x:v>309</x:v>
      </x:c>
      <x:c r="H18" s="10" t="s">
        <x:v>45</x:v>
      </x:c>
      <x:c r="I18" s="10" t="n">
        <x:v>19.6</x:v>
      </x:c>
      <x:c r="J18" s="14" t="n">
        <x:v>3</x:v>
      </x:c>
      <x:c r="K18" s="10" t="s">
        <x:v>52</x:v>
      </x:c>
      <x:c r="L18" s="10"/>
      <x:c r="M18" s="10"/>
      <x:c r="N18" s="10" t="s">
        <x:v>320</x:v>
      </x:c>
    </x:row>
    <x:row r="19" ht="15" hidden="0">
      <x:c r="A19" s="10" t="s">
        <x:v>326</x:v>
      </x:c>
      <x:c r="B19" s="10" t="s">
        <x:v>89</x:v>
      </x:c>
      <x:c r="C19" s="10" t="s">
        <x:v>236</x:v>
      </x:c>
      <x:c r="D19" s="10" t="n">
        <x:v>24</x:v>
      </x:c>
      <x:c r="E19" s="10" t="s">
        <x:v>45</x:v>
      </x:c>
      <x:c r="F19" s="10" t="n">
        <x:v>10</x:v>
      </x:c>
      <x:c r="G19" s="10" t="s">
        <x:v>309</x:v>
      </x:c>
      <x:c r="H19" s="10" t="s">
        <x:v>45</x:v>
      </x:c>
      <x:c r="I19" s="10" t="n">
        <x:v>22.5</x:v>
      </x:c>
      <x:c r="J19" s="14" t="n">
        <x:v>3</x:v>
      </x:c>
      <x:c r="K19" s="10" t="s">
        <x:v>52</x:v>
      </x:c>
      <x:c r="L19" s="10"/>
      <x:c r="M19" s="10"/>
      <x:c r="N19" s="10" t="s">
        <x:v>320</x:v>
      </x:c>
    </x:row>
    <x:row r="20" ht="15" hidden="0">
      <x:c r="A20" s="10" t="s">
        <x:v>327</x:v>
      </x:c>
      <x:c r="B20" s="10" t="s">
        <x:v>89</x:v>
      </x:c>
      <x:c r="C20" s="10" t="s">
        <x:v>238</x:v>
      </x:c>
      <x:c r="D20" s="10" t="n">
        <x:v>30</x:v>
      </x:c>
      <x:c r="E20" s="10" t="s">
        <x:v>45</x:v>
      </x:c>
      <x:c r="F20" s="10" t="n">
        <x:v>12.5</x:v>
      </x:c>
      <x:c r="G20" s="10" t="s">
        <x:v>309</x:v>
      </x:c>
      <x:c r="H20" s="10" t="s">
        <x:v>45</x:v>
      </x:c>
      <x:c r="I20" s="10" t="n">
        <x:v>28.2</x:v>
      </x:c>
      <x:c r="J20" s="14" t="n">
        <x:v>3</x:v>
      </x:c>
      <x:c r="K20" s="10" t="s">
        <x:v>52</x:v>
      </x:c>
      <x:c r="L20" s="10"/>
      <x:c r="M20" s="10"/>
      <x:c r="N20" s="10" t="s">
        <x:v>320</x:v>
      </x:c>
    </x:row>
    <x:row r="21" ht="15" hidden="0">
      <x:c r="A21" s="10" t="s">
        <x:v>328</x:v>
      </x:c>
      <x:c r="B21" s="10" t="s">
        <x:v>89</x:v>
      </x:c>
      <x:c r="C21" s="10" t="s">
        <x:v>240</x:v>
      </x:c>
      <x:c r="D21" s="10" t="n">
        <x:v>36</x:v>
      </x:c>
      <x:c r="E21" s="10" t="s">
        <x:v>45</x:v>
      </x:c>
      <x:c r="F21" s="10" t="n">
        <x:v>15</x:v>
      </x:c>
      <x:c r="G21" s="10" t="s">
        <x:v>309</x:v>
      </x:c>
      <x:c r="H21" s="10" t="s">
        <x:v>45</x:v>
      </x:c>
      <x:c r="I21" s="10" t="n">
        <x:v>33.6</x:v>
      </x:c>
      <x:c r="J21" s="14" t="n">
        <x:v>3</x:v>
      </x:c>
      <x:c r="K21" s="10" t="s">
        <x:v>52</x:v>
      </x:c>
      <x:c r="L21" s="10"/>
      <x:c r="M21" s="10"/>
      <x:c r="N21" s="10" t="s">
        <x:v>320</x:v>
      </x:c>
    </x:row>
    <x:row r="22" ht="15" hidden="0">
      <x:c r="A22" s="10" t="s">
        <x:v>329</x:v>
      </x:c>
      <x:c r="B22" s="10" t="s">
        <x:v>99</x:v>
      </x:c>
      <x:c r="C22" s="10" t="s">
        <x:v>230</x:v>
      </x:c>
      <x:c r="D22" s="10" t="s">
        <x:v>45</x:v>
      </x:c>
      <x:c r="E22" s="10" t="n">
        <x:v>8.5</x:v>
      </x:c>
      <x:c r="F22" s="10" t="n">
        <x:v>5</x:v>
      </x:c>
      <x:c r="G22" s="10" t="s">
        <x:v>330</x:v>
      </x:c>
      <x:c r="H22" s="10" t="n">
        <x:v>4</x:v>
      </x:c>
      <x:c r="I22" s="10" t="s">
        <x:v>45</x:v>
      </x:c>
      <x:c r="J22" s="14" t="n">
        <x:v>3</x:v>
      </x:c>
      <x:c r="K22" s="10" t="s">
        <x:v>52</x:v>
      </x:c>
      <x:c r="L22" s="10"/>
      <x:c r="M22" s="10"/>
      <x:c r="N22" s="10" t="s">
        <x:v>331</x:v>
      </x:c>
    </x:row>
    <x:row r="23" ht="15" hidden="0">
      <x:c r="A23" s="10" t="s">
        <x:v>332</x:v>
      </x:c>
      <x:c r="B23" s="10" t="s">
        <x:v>99</x:v>
      </x:c>
      <x:c r="C23" s="10" t="s">
        <x:v>231</x:v>
      </x:c>
      <x:c r="D23" s="10" t="s">
        <x:v>45</x:v>
      </x:c>
      <x:c r="E23" s="10" t="n">
        <x:v>10</x:v>
      </x:c>
      <x:c r="F23" s="10" t="n">
        <x:v>6</x:v>
      </x:c>
      <x:c r="G23" s="10" t="s">
        <x:v>330</x:v>
      </x:c>
      <x:c r="H23" s="10" t="n">
        <x:v>5</x:v>
      </x:c>
      <x:c r="I23" s="10" t="s">
        <x:v>45</x:v>
      </x:c>
      <x:c r="J23" s="14" t="n">
        <x:v>3</x:v>
      </x:c>
      <x:c r="K23" s="10" t="s">
        <x:v>52</x:v>
      </x:c>
      <x:c r="L23" s="10"/>
      <x:c r="M23" s="10"/>
      <x:c r="N23" s="10" t="s">
        <x:v>331</x:v>
      </x:c>
    </x:row>
    <x:row r="24" ht="15" hidden="0">
      <x:c r="A24" s="10" t="s">
        <x:v>333</x:v>
      </x:c>
      <x:c r="B24" s="10" t="s">
        <x:v>99</x:v>
      </x:c>
      <x:c r="C24" s="10" t="s">
        <x:v>232</x:v>
      </x:c>
      <x:c r="D24" s="10" t="s">
        <x:v>45</x:v>
      </x:c>
      <x:c r="E24" s="10" t="n">
        <x:v>13</x:v>
      </x:c>
      <x:c r="F24" s="10" t="n">
        <x:v>8</x:v>
      </x:c>
      <x:c r="G24" s="10" t="s">
        <x:v>330</x:v>
      </x:c>
      <x:c r="H24" s="10" t="n">
        <x:v>6</x:v>
      </x:c>
      <x:c r="I24" s="10" t="s">
        <x:v>45</x:v>
      </x:c>
      <x:c r="J24" s="14" t="n">
        <x:v>3</x:v>
      </x:c>
      <x:c r="K24" s="10" t="s">
        <x:v>52</x:v>
      </x:c>
      <x:c r="L24" s="10"/>
      <x:c r="M24" s="10"/>
      <x:c r="N24" s="10" t="s">
        <x:v>331</x:v>
      </x:c>
    </x:row>
    <x:row r="25" ht="15" hidden="0">
      <x:c r="A25" s="10" t="s">
        <x:v>334</x:v>
      </x:c>
      <x:c r="B25" s="10" t="s">
        <x:v>99</x:v>
      </x:c>
      <x:c r="C25" s="10" t="s">
        <x:v>233</x:v>
      </x:c>
      <x:c r="D25" s="10" t="s">
        <x:v>45</x:v>
      </x:c>
      <x:c r="E25" s="10" t="n">
        <x:v>16</x:v>
      </x:c>
      <x:c r="F25" s="10" t="n">
        <x:v>10</x:v>
      </x:c>
      <x:c r="G25" s="10" t="s">
        <x:v>330</x:v>
      </x:c>
      <x:c r="H25" s="10" t="n">
        <x:v>8</x:v>
      </x:c>
      <x:c r="I25" s="10" t="s">
        <x:v>45</x:v>
      </x:c>
      <x:c r="J25" s="14" t="n">
        <x:v>3</x:v>
      </x:c>
      <x:c r="K25" s="10" t="s">
        <x:v>52</x:v>
      </x:c>
      <x:c r="L25" s="10"/>
      <x:c r="M25" s="10"/>
      <x:c r="N25" s="10" t="s">
        <x:v>331</x:v>
      </x:c>
    </x:row>
    <x:row r="26" ht="15" hidden="0">
      <x:c r="A26" s="10" t="s">
        <x:v>335</x:v>
      </x:c>
      <x:c r="B26" s="10" t="s">
        <x:v>99</x:v>
      </x:c>
      <x:c r="C26" s="10" t="s">
        <x:v>234</x:v>
      </x:c>
      <x:c r="D26" s="10" t="s">
        <x:v>45</x:v>
      </x:c>
      <x:c r="E26" s="10" t="n">
        <x:v>18</x:v>
      </x:c>
      <x:c r="F26" s="10" t="n">
        <x:v>12</x:v>
      </x:c>
      <x:c r="G26" s="10" t="s">
        <x:v>330</x:v>
      </x:c>
      <x:c r="H26" s="10" t="n">
        <x:v>10</x:v>
      </x:c>
      <x:c r="I26" s="10" t="s">
        <x:v>45</x:v>
      </x:c>
      <x:c r="J26" s="14" t="n">
        <x:v>3</x:v>
      </x:c>
      <x:c r="K26" s="10" t="s">
        <x:v>52</x:v>
      </x:c>
      <x:c r="L26" s="10"/>
      <x:c r="M26" s="10"/>
      <x:c r="N26" s="10" t="s">
        <x:v>331</x:v>
      </x:c>
    </x:row>
    <x:row r="27" ht="15" hidden="0">
      <x:c r="A27" s="10" t="s">
        <x:v>336</x:v>
      </x:c>
      <x:c r="B27" s="10" t="s">
        <x:v>99</x:v>
      </x:c>
      <x:c r="C27" s="10" t="s">
        <x:v>235</x:v>
      </x:c>
      <x:c r="D27" s="10" t="s">
        <x:v>45</x:v>
      </x:c>
      <x:c r="E27" s="10" t="n">
        <x:v>21</x:v>
      </x:c>
      <x:c r="F27" s="10" t="n">
        <x:v>14</x:v>
      </x:c>
      <x:c r="G27" s="10" t="s">
        <x:v>330</x:v>
      </x:c>
      <x:c r="H27" s="10" t="n">
        <x:v>12</x:v>
      </x:c>
      <x:c r="I27" s="10" t="s">
        <x:v>45</x:v>
      </x:c>
      <x:c r="J27" s="14" t="n">
        <x:v>3</x:v>
      </x:c>
      <x:c r="K27" s="10" t="s">
        <x:v>52</x:v>
      </x:c>
      <x:c r="L27" s="10"/>
      <x:c r="M27" s="10"/>
      <x:c r="N27" s="10" t="s">
        <x:v>331</x:v>
      </x:c>
    </x:row>
    <x:row r="28" ht="15" hidden="0">
      <x:c r="A28" s="10" t="s">
        <x:v>337</x:v>
      </x:c>
      <x:c r="B28" s="10" t="s">
        <x:v>99</x:v>
      </x:c>
      <x:c r="C28" s="10" t="s">
        <x:v>236</x:v>
      </x:c>
      <x:c r="D28" s="10" t="s">
        <x:v>45</x:v>
      </x:c>
      <x:c r="E28" s="10" t="n">
        <x:v>24</x:v>
      </x:c>
      <x:c r="F28" s="10" t="n">
        <x:v>16</x:v>
      </x:c>
      <x:c r="G28" s="10" t="s">
        <x:v>330</x:v>
      </x:c>
      <x:c r="H28" s="10" t="n">
        <x:v>14</x:v>
      </x:c>
      <x:c r="I28" s="10" t="s">
        <x:v>45</x:v>
      </x:c>
      <x:c r="J28" s="14" t="n">
        <x:v>3</x:v>
      </x:c>
      <x:c r="K28" s="10" t="s">
        <x:v>52</x:v>
      </x:c>
      <x:c r="L28" s="10"/>
      <x:c r="M28" s="10"/>
      <x:c r="N28" s="10" t="s">
        <x:v>331</x:v>
      </x:c>
    </x:row>
    <x:row r="29" ht="15" hidden="0">
      <x:c r="A29" s="10" t="s">
        <x:v>338</x:v>
      </x:c>
      <x:c r="B29" s="10" t="s">
        <x:v>99</x:v>
      </x:c>
      <x:c r="C29" s="10" t="s">
        <x:v>238</x:v>
      </x:c>
      <x:c r="D29" s="10" t="s">
        <x:v>45</x:v>
      </x:c>
      <x:c r="E29" s="10" t="n">
        <x:v>30</x:v>
      </x:c>
      <x:c r="F29" s="10" t="n">
        <x:v>20</x:v>
      </x:c>
      <x:c r="G29" s="10" t="s">
        <x:v>330</x:v>
      </x:c>
      <x:c r="H29" s="10" t="n">
        <x:v>17</x:v>
      </x:c>
      <x:c r="I29" s="10" t="s">
        <x:v>45</x:v>
      </x:c>
      <x:c r="J29" s="14" t="n">
        <x:v>3</x:v>
      </x:c>
      <x:c r="K29" s="10" t="s">
        <x:v>52</x:v>
      </x:c>
      <x:c r="L29" s="10"/>
      <x:c r="M29" s="10"/>
      <x:c r="N29" s="10" t="s">
        <x:v>331</x:v>
      </x:c>
    </x:row>
    <x:row r="30" ht="15" hidden="0">
      <x:c r="A30" s="10" t="s">
        <x:v>339</x:v>
      </x:c>
      <x:c r="B30" s="10" t="s">
        <x:v>99</x:v>
      </x:c>
      <x:c r="C30" s="10" t="s">
        <x:v>240</x:v>
      </x:c>
      <x:c r="D30" s="10" t="s">
        <x:v>45</x:v>
      </x:c>
      <x:c r="E30" s="10" t="n">
        <x:v>36</x:v>
      </x:c>
      <x:c r="F30" s="10" t="n">
        <x:v>24</x:v>
      </x:c>
      <x:c r="G30" s="10" t="s">
        <x:v>330</x:v>
      </x:c>
      <x:c r="H30" s="10" t="n">
        <x:v>19</x:v>
      </x:c>
      <x:c r="I30" s="10" t="s">
        <x:v>45</x:v>
      </x:c>
      <x:c r="J30" s="14" t="n">
        <x:v>3</x:v>
      </x:c>
      <x:c r="K30" s="10" t="s">
        <x:v>52</x:v>
      </x:c>
      <x:c r="L30" s="10"/>
      <x:c r="M30" s="10"/>
      <x:c r="N30" s="10" t="s">
        <x:v>331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3" hidden="0" customWidth="1"/>
    <x:col min="3" max="3" width="12" hidden="0" customWidth="1"/>
    <x:col min="4" max="4" width="16" hidden="0" customWidth="1"/>
    <x:col min="5" max="5" width="14" hidden="0" customWidth="1"/>
    <x:col min="6" max="6" width="18" hidden="0" customWidth="1"/>
    <x:col min="7" max="7" width="16" hidden="0" customWidth="1"/>
    <x:col min="8" max="8" width="8" hidden="0" customWidth="1"/>
    <x:col min="9" max="9" width="12" hidden="0" customWidth="1"/>
    <x:col min="10" max="10" width="14" hidden="0" customWidth="1"/>
    <x:col min="11" max="11" width="12" hidden="0" customWidth="1"/>
    <x:col min="12" max="12" width="36" hidden="0" customWidth="1"/>
  </x:cols>
  <x:sheetData>
    <x:row r="1" ht="16.149999618530273" hidden="0">
      <x:c r="A1" s="1" t="s">
        <x:v>340</x:v>
      </x:c>
    </x:row>
    <x:row r="3" ht="23.850000381469727" hidden="0">
      <x:c r="A3" s="9" t="s">
        <x:v>299</x:v>
      </x:c>
      <x:c r="B3" s="9" t="s">
        <x:v>82</x:v>
      </x:c>
      <x:c r="C3" s="9" t="s">
        <x:v>217</x:v>
      </x:c>
      <x:c r="D3" s="9" t="s">
        <x:v>300</x:v>
      </x:c>
      <x:c r="E3" s="9" t="s">
        <x:v>341</x:v>
      </x:c>
      <x:c r="F3" s="9" t="s">
        <x:v>342</x:v>
      </x:c>
      <x:c r="G3" s="9" t="s">
        <x:v>343</x:v>
      </x:c>
      <x:c r="H3" s="9" t="s">
        <x:v>225</x:v>
      </x:c>
      <x:c r="I3" s="9" t="s">
        <x:v>36</x:v>
      </x:c>
      <x:c r="J3" s="9" t="s">
        <x:v>306</x:v>
      </x:c>
      <x:c r="K3" s="9" t="s">
        <x:v>307</x:v>
      </x:c>
      <x:c r="L3" s="9" t="s">
        <x:v>41</x:v>
      </x:c>
    </x:row>
    <x:row r="4" ht="15" hidden="0">
      <x:c r="A4" s="10" t="s">
        <x:v>344</x:v>
      </x:c>
      <x:c r="B4" s="10" t="s">
        <x:v>116</x:v>
      </x:c>
      <x:c r="C4" s="10" t="s">
        <x:v>230</x:v>
      </x:c>
      <x:c r="D4" s="10" t="n">
        <x:v>8</x:v>
      </x:c>
      <x:c r="E4" s="10" t="n">
        <x:v>4.7</x:v>
      </x:c>
      <x:c r="F4" s="10" t="s">
        <x:v>345</x:v>
      </x:c>
      <x:c r="G4" s="10" t="s">
        <x:v>45</x:v>
      </x:c>
      <x:c r="H4" s="14" t="n">
        <x:v>3</x:v>
      </x:c>
      <x:c r="I4" s="10" t="s">
        <x:v>55</x:v>
      </x:c>
      <x:c r="J4" s="10"/>
      <x:c r="K4" s="10"/>
      <x:c r="L4" s="10" t="s">
        <x:v>346</x:v>
      </x:c>
    </x:row>
    <x:row r="5" ht="15" hidden="0">
      <x:c r="A5" s="10" t="s">
        <x:v>347</x:v>
      </x:c>
      <x:c r="B5" s="10" t="s">
        <x:v>116</x:v>
      </x:c>
      <x:c r="C5" s="10" t="s">
        <x:v>231</x:v>
      </x:c>
      <x:c r="D5" s="10" t="n">
        <x:v>10</x:v>
      </x:c>
      <x:c r="E5" s="10" t="n">
        <x:v>5.2</x:v>
      </x:c>
      <x:c r="F5" s="10" t="s">
        <x:v>345</x:v>
      </x:c>
      <x:c r="G5" s="10" t="s">
        <x:v>45</x:v>
      </x:c>
      <x:c r="H5" s="14" t="n">
        <x:v>3</x:v>
      </x:c>
      <x:c r="I5" s="10" t="s">
        <x:v>55</x:v>
      </x:c>
      <x:c r="J5" s="10"/>
      <x:c r="K5" s="10"/>
      <x:c r="L5" s="10" t="s">
        <x:v>346</x:v>
      </x:c>
    </x:row>
    <x:row r="6" ht="15" hidden="0">
      <x:c r="A6" s="10" t="s">
        <x:v>348</x:v>
      </x:c>
      <x:c r="B6" s="10" t="s">
        <x:v>116</x:v>
      </x:c>
      <x:c r="C6" s="10" t="s">
        <x:v>232</x:v>
      </x:c>
      <x:c r="D6" s="10" t="n">
        <x:v>13</x:v>
      </x:c>
      <x:c r="E6" s="10" t="n">
        <x:v>6.8</x:v>
      </x:c>
      <x:c r="F6" s="10" t="s">
        <x:v>345</x:v>
      </x:c>
      <x:c r="G6" s="10" t="s">
        <x:v>45</x:v>
      </x:c>
      <x:c r="H6" s="14" t="n">
        <x:v>3</x:v>
      </x:c>
      <x:c r="I6" s="10" t="s">
        <x:v>55</x:v>
      </x:c>
      <x:c r="J6" s="10"/>
      <x:c r="K6" s="10"/>
      <x:c r="L6" s="10" t="s">
        <x:v>346</x:v>
      </x:c>
    </x:row>
    <x:row r="7" ht="15" hidden="0">
      <x:c r="A7" s="10" t="s">
        <x:v>349</x:v>
      </x:c>
      <x:c r="B7" s="10" t="s">
        <x:v>116</x:v>
      </x:c>
      <x:c r="C7" s="10" t="s">
        <x:v>233</x:v>
      </x:c>
      <x:c r="D7" s="10" t="n">
        <x:v>16</x:v>
      </x:c>
      <x:c r="E7" s="10" t="n">
        <x:v>8.4</x:v>
      </x:c>
      <x:c r="F7" s="10" t="s">
        <x:v>345</x:v>
      </x:c>
      <x:c r="G7" s="10" t="s">
        <x:v>45</x:v>
      </x:c>
      <x:c r="H7" s="14" t="n">
        <x:v>3</x:v>
      </x:c>
      <x:c r="I7" s="10" t="s">
        <x:v>55</x:v>
      </x:c>
      <x:c r="J7" s="10"/>
      <x:c r="K7" s="10"/>
      <x:c r="L7" s="10" t="s">
        <x:v>346</x:v>
      </x:c>
    </x:row>
    <x:row r="8" ht="15" hidden="0">
      <x:c r="A8" s="10" t="s">
        <x:v>350</x:v>
      </x:c>
      <x:c r="B8" s="10" t="s">
        <x:v>116</x:v>
      </x:c>
      <x:c r="C8" s="10" t="s">
        <x:v>234</x:v>
      </x:c>
      <x:c r="D8" s="10" t="n">
        <x:v>18</x:v>
      </x:c>
      <x:c r="E8" s="10" t="n">
        <x:v>10.8</x:v>
      </x:c>
      <x:c r="F8" s="10" t="s">
        <x:v>345</x:v>
      </x:c>
      <x:c r="G8" s="10" t="s">
        <x:v>45</x:v>
      </x:c>
      <x:c r="H8" s="14" t="n">
        <x:v>3</x:v>
      </x:c>
      <x:c r="I8" s="10" t="s">
        <x:v>55</x:v>
      </x:c>
      <x:c r="J8" s="10"/>
      <x:c r="K8" s="10"/>
      <x:c r="L8" s="10" t="s">
        <x:v>346</x:v>
      </x:c>
    </x:row>
    <x:row r="9" ht="15" hidden="0">
      <x:c r="A9" s="10" t="s">
        <x:v>351</x:v>
      </x:c>
      <x:c r="B9" s="10" t="s">
        <x:v>116</x:v>
      </x:c>
      <x:c r="C9" s="10" t="s">
        <x:v>235</x:v>
      </x:c>
      <x:c r="D9" s="10" t="n">
        <x:v>21</x:v>
      </x:c>
      <x:c r="E9" s="10" t="n">
        <x:v>12.8</x:v>
      </x:c>
      <x:c r="F9" s="10" t="s">
        <x:v>345</x:v>
      </x:c>
      <x:c r="G9" s="10" t="s">
        <x:v>45</x:v>
      </x:c>
      <x:c r="H9" s="14" t="n">
        <x:v>3</x:v>
      </x:c>
      <x:c r="I9" s="10" t="s">
        <x:v>55</x:v>
      </x:c>
      <x:c r="J9" s="10"/>
      <x:c r="K9" s="10"/>
      <x:c r="L9" s="10" t="s">
        <x:v>346</x:v>
      </x:c>
    </x:row>
    <x:row r="10" ht="15" hidden="0">
      <x:c r="A10" s="10" t="s">
        <x:v>352</x:v>
      </x:c>
      <x:c r="B10" s="10" t="s">
        <x:v>116</x:v>
      </x:c>
      <x:c r="C10" s="10" t="s">
        <x:v>236</x:v>
      </x:c>
      <x:c r="D10" s="10" t="n">
        <x:v>24</x:v>
      </x:c>
      <x:c r="E10" s="10" t="n">
        <x:v>14.8</x:v>
      </x:c>
      <x:c r="F10" s="10" t="s">
        <x:v>345</x:v>
      </x:c>
      <x:c r="G10" s="10" t="s">
        <x:v>45</x:v>
      </x:c>
      <x:c r="H10" s="14" t="n">
        <x:v>3</x:v>
      </x:c>
      <x:c r="I10" s="10" t="s">
        <x:v>55</x:v>
      </x:c>
      <x:c r="J10" s="10"/>
      <x:c r="K10" s="10"/>
      <x:c r="L10" s="10" t="s">
        <x:v>346</x:v>
      </x:c>
    </x:row>
    <x:row r="11" ht="15" hidden="0">
      <x:c r="A11" s="10" t="s">
        <x:v>353</x:v>
      </x:c>
      <x:c r="B11" s="10" t="s">
        <x:v>116</x:v>
      </x:c>
      <x:c r="C11" s="10" t="s">
        <x:v>238</x:v>
      </x:c>
      <x:c r="D11" s="10" t="n">
        <x:v>30</x:v>
      </x:c>
      <x:c r="E11" s="10" t="n">
        <x:v>18</x:v>
      </x:c>
      <x:c r="F11" s="10" t="s">
        <x:v>345</x:v>
      </x:c>
      <x:c r="G11" s="10" t="s">
        <x:v>45</x:v>
      </x:c>
      <x:c r="H11" s="14" t="n">
        <x:v>3</x:v>
      </x:c>
      <x:c r="I11" s="10" t="s">
        <x:v>55</x:v>
      </x:c>
      <x:c r="J11" s="10"/>
      <x:c r="K11" s="10"/>
      <x:c r="L11" s="10" t="s">
        <x:v>346</x:v>
      </x:c>
    </x:row>
    <x:row r="12" ht="15" hidden="0">
      <x:c r="A12" s="10" t="s">
        <x:v>354</x:v>
      </x:c>
      <x:c r="B12" s="10" t="s">
        <x:v>116</x:v>
      </x:c>
      <x:c r="C12" s="10" t="s">
        <x:v>240</x:v>
      </x:c>
      <x:c r="D12" s="10" t="n">
        <x:v>36</x:v>
      </x:c>
      <x:c r="E12" s="10" t="n">
        <x:v>21.5</x:v>
      </x:c>
      <x:c r="F12" s="10" t="s">
        <x:v>345</x:v>
      </x:c>
      <x:c r="G12" s="10" t="s">
        <x:v>45</x:v>
      </x:c>
      <x:c r="H12" s="14" t="n">
        <x:v>3</x:v>
      </x:c>
      <x:c r="I12" s="10" t="s">
        <x:v>55</x:v>
      </x:c>
      <x:c r="J12" s="10"/>
      <x:c r="K12" s="10"/>
      <x:c r="L12" s="10" t="s">
        <x:v>346</x:v>
      </x:c>
    </x:row>
    <x:row r="13" ht="15" hidden="0">
      <x:c r="A13" s="10" t="s">
        <x:v>355</x:v>
      </x:c>
      <x:c r="B13" s="10" t="s">
        <x:v>124</x:v>
      </x:c>
      <x:c r="C13" s="10" t="s">
        <x:v>230</x:v>
      </x:c>
      <x:c r="D13" s="10" t="n">
        <x:v>8</x:v>
      </x:c>
      <x:c r="E13" s="10" t="n">
        <x:v>2.7</x:v>
      </x:c>
      <x:c r="F13" s="10" t="s">
        <x:v>356</x:v>
      </x:c>
      <x:c r="G13" s="10" t="s">
        <x:v>45</x:v>
      </x:c>
      <x:c r="H13" s="14" t="n">
        <x:v>3</x:v>
      </x:c>
      <x:c r="I13" s="10" t="s">
        <x:v>55</x:v>
      </x:c>
      <x:c r="J13" s="10"/>
      <x:c r="K13" s="10"/>
      <x:c r="L13" s="10" t="s">
        <x:v>357</x:v>
      </x:c>
    </x:row>
    <x:row r="14" ht="15" hidden="0">
      <x:c r="A14" s="10" t="s">
        <x:v>358</x:v>
      </x:c>
      <x:c r="B14" s="10" t="s">
        <x:v>124</x:v>
      </x:c>
      <x:c r="C14" s="10" t="s">
        <x:v>231</x:v>
      </x:c>
      <x:c r="D14" s="10" t="n">
        <x:v>10</x:v>
      </x:c>
      <x:c r="E14" s="10" t="n">
        <x:v>3.2</x:v>
      </x:c>
      <x:c r="F14" s="10" t="s">
        <x:v>356</x:v>
      </x:c>
      <x:c r="G14" s="10" t="s">
        <x:v>45</x:v>
      </x:c>
      <x:c r="H14" s="14" t="n">
        <x:v>3</x:v>
      </x:c>
      <x:c r="I14" s="10" t="s">
        <x:v>55</x:v>
      </x:c>
      <x:c r="J14" s="10"/>
      <x:c r="K14" s="10"/>
      <x:c r="L14" s="10" t="s">
        <x:v>357</x:v>
      </x:c>
    </x:row>
    <x:row r="15" ht="15" hidden="0">
      <x:c r="A15" s="10" t="s">
        <x:v>359</x:v>
      </x:c>
      <x:c r="B15" s="10" t="s">
        <x:v>124</x:v>
      </x:c>
      <x:c r="C15" s="10" t="s">
        <x:v>232</x:v>
      </x:c>
      <x:c r="D15" s="10" t="n">
        <x:v>13</x:v>
      </x:c>
      <x:c r="E15" s="10" t="n">
        <x:v>4</x:v>
      </x:c>
      <x:c r="F15" s="10" t="s">
        <x:v>356</x:v>
      </x:c>
      <x:c r="G15" s="10" t="s">
        <x:v>45</x:v>
      </x:c>
      <x:c r="H15" s="14" t="n">
        <x:v>3</x:v>
      </x:c>
      <x:c r="I15" s="10" t="s">
        <x:v>55</x:v>
      </x:c>
      <x:c r="J15" s="10"/>
      <x:c r="K15" s="10"/>
      <x:c r="L15" s="10" t="s">
        <x:v>357</x:v>
      </x:c>
    </x:row>
    <x:row r="16" ht="15" hidden="0">
      <x:c r="A16" s="10" t="s">
        <x:v>360</x:v>
      </x:c>
      <x:c r="B16" s="10" t="s">
        <x:v>124</x:v>
      </x:c>
      <x:c r="C16" s="10" t="s">
        <x:v>233</x:v>
      </x:c>
      <x:c r="D16" s="10" t="n">
        <x:v>16</x:v>
      </x:c>
      <x:c r="E16" s="10" t="n">
        <x:v>5</x:v>
      </x:c>
      <x:c r="F16" s="10" t="s">
        <x:v>356</x:v>
      </x:c>
      <x:c r="G16" s="10" t="s">
        <x:v>45</x:v>
      </x:c>
      <x:c r="H16" s="14" t="n">
        <x:v>3</x:v>
      </x:c>
      <x:c r="I16" s="10" t="s">
        <x:v>55</x:v>
      </x:c>
      <x:c r="J16" s="10"/>
      <x:c r="K16" s="10"/>
      <x:c r="L16" s="10" t="s">
        <x:v>357</x:v>
      </x:c>
    </x:row>
    <x:row r="17" ht="15" hidden="0">
      <x:c r="A17" s="10" t="s">
        <x:v>361</x:v>
      </x:c>
      <x:c r="B17" s="10" t="s">
        <x:v>124</x:v>
      </x:c>
      <x:c r="C17" s="10" t="s">
        <x:v>234</x:v>
      </x:c>
      <x:c r="D17" s="10" t="n">
        <x:v>18</x:v>
      </x:c>
      <x:c r="E17" s="10" t="n">
        <x:v>6</x:v>
      </x:c>
      <x:c r="F17" s="10" t="s">
        <x:v>356</x:v>
      </x:c>
      <x:c r="G17" s="10" t="s">
        <x:v>45</x:v>
      </x:c>
      <x:c r="H17" s="14" t="n">
        <x:v>3</x:v>
      </x:c>
      <x:c r="I17" s="10" t="s">
        <x:v>55</x:v>
      </x:c>
      <x:c r="J17" s="10"/>
      <x:c r="K17" s="10"/>
      <x:c r="L17" s="10" t="s">
        <x:v>357</x:v>
      </x:c>
    </x:row>
    <x:row r="18" ht="15" hidden="0">
      <x:c r="A18" s="10" t="s">
        <x:v>362</x:v>
      </x:c>
      <x:c r="B18" s="10" t="s">
        <x:v>124</x:v>
      </x:c>
      <x:c r="C18" s="10" t="s">
        <x:v>236</x:v>
      </x:c>
      <x:c r="D18" s="10" t="n">
        <x:v>24</x:v>
      </x:c>
      <x:c r="E18" s="10" t="n">
        <x:v>8</x:v>
      </x:c>
      <x:c r="F18" s="10" t="s">
        <x:v>356</x:v>
      </x:c>
      <x:c r="G18" s="10" t="s">
        <x:v>45</x:v>
      </x:c>
      <x:c r="H18" s="14" t="n">
        <x:v>3</x:v>
      </x:c>
      <x:c r="I18" s="10" t="s">
        <x:v>55</x:v>
      </x:c>
      <x:c r="J18" s="10"/>
      <x:c r="K18" s="10"/>
      <x:c r="L18" s="10" t="s">
        <x:v>357</x:v>
      </x:c>
    </x:row>
    <x:row r="19" ht="15" hidden="0">
      <x:c r="A19" s="10" t="s">
        <x:v>363</x:v>
      </x:c>
      <x:c r="B19" s="10" t="s">
        <x:v>124</x:v>
      </x:c>
      <x:c r="C19" s="10" t="s">
        <x:v>238</x:v>
      </x:c>
      <x:c r="D19" s="10" t="n">
        <x:v>30</x:v>
      </x:c>
      <x:c r="E19" s="10" t="n">
        <x:v>10</x:v>
      </x:c>
      <x:c r="F19" s="10" t="s">
        <x:v>356</x:v>
      </x:c>
      <x:c r="G19" s="10" t="s">
        <x:v>45</x:v>
      </x:c>
      <x:c r="H19" s="14" t="n">
        <x:v>3</x:v>
      </x:c>
      <x:c r="I19" s="10" t="s">
        <x:v>55</x:v>
      </x:c>
      <x:c r="J19" s="10"/>
      <x:c r="K19" s="10"/>
      <x:c r="L19" s="10" t="s">
        <x:v>357</x:v>
      </x:c>
    </x:row>
    <x:row r="20" ht="15" hidden="0">
      <x:c r="A20" s="10" t="s">
        <x:v>364</x:v>
      </x:c>
      <x:c r="B20" s="10" t="s">
        <x:v>124</x:v>
      </x:c>
      <x:c r="C20" s="10" t="s">
        <x:v>240</x:v>
      </x:c>
      <x:c r="D20" s="10" t="n">
        <x:v>36</x:v>
      </x:c>
      <x:c r="E20" s="10" t="n">
        <x:v>12</x:v>
      </x:c>
      <x:c r="F20" s="10" t="s">
        <x:v>356</x:v>
      </x:c>
      <x:c r="G20" s="10" t="s">
        <x:v>45</x:v>
      </x:c>
      <x:c r="H20" s="14" t="n">
        <x:v>3</x:v>
      </x:c>
      <x:c r="I20" s="10" t="s">
        <x:v>55</x:v>
      </x:c>
      <x:c r="J20" s="10"/>
      <x:c r="K20" s="10"/>
      <x:c r="L20" s="10" t="s">
        <x:v>357</x:v>
      </x:c>
    </x:row>
    <x:row r="21" ht="15" hidden="0">
      <x:c r="A21" s="10" t="s">
        <x:v>365</x:v>
      </x:c>
      <x:c r="B21" s="10" t="s">
        <x:v>128</x:v>
      </x:c>
      <x:c r="C21" s="10" t="s">
        <x:v>231</x:v>
      </x:c>
      <x:c r="D21" s="10" t="n">
        <x:v>10</x:v>
      </x:c>
      <x:c r="E21" s="36" t="n">
        <x:v>6</x:v>
      </x:c>
      <x:c r="F21" s="10" t="s">
        <x:v>366</x:v>
      </x:c>
      <x:c r="G21" s="10" t="s">
        <x:v>45</x:v>
      </x:c>
      <x:c r="H21" s="16" t="n">
        <x:v>2</x:v>
      </x:c>
      <x:c r="I21" s="10" t="str">
        <x:v>SRC-010</x:v>
      </x:c>
      <x:c r="J21" s="10"/>
      <x:c r="K21" s="10"/>
      <x:c r="L21" s="10" t="str">
        <x:v>ISO 7040/DIN 985 tipi kamuya açık ölçü tablolarıyla çapraz kontrol; lisanslı standartla son doğrulama gerekli</x:v>
      </x:c>
    </x:row>
    <x:row r="22" ht="15" hidden="0">
      <x:c r="A22" s="10" t="s">
        <x:v>367</x:v>
      </x:c>
      <x:c r="B22" s="10" t="s">
        <x:v>128</x:v>
      </x:c>
      <x:c r="C22" s="10" t="s">
        <x:v>232</x:v>
      </x:c>
      <x:c r="D22" s="10" t="n">
        <x:v>13</x:v>
      </x:c>
      <x:c r="E22" s="36" t="n">
        <x:v>8</x:v>
      </x:c>
      <x:c r="F22" s="10" t="s">
        <x:v>366</x:v>
      </x:c>
      <x:c r="G22" s="10" t="s">
        <x:v>45</x:v>
      </x:c>
      <x:c r="H22" s="16" t="n">
        <x:v>2</x:v>
      </x:c>
      <x:c r="I22" s="10" t="str">
        <x:v>SRC-010</x:v>
      </x:c>
      <x:c r="J22" s="10"/>
      <x:c r="K22" s="10"/>
      <x:c r="L22" s="10" t="str">
        <x:v>ISO 7040/DIN 985 tipi kamuya açık ölçü tablolarıyla çapraz kontrol; lisanslı standartla son doğrulama gerekli</x:v>
      </x:c>
    </x:row>
    <x:row r="23" ht="15" hidden="0">
      <x:c r="A23" s="10" t="s">
        <x:v>368</x:v>
      </x:c>
      <x:c r="B23" s="10" t="s">
        <x:v>128</x:v>
      </x:c>
      <x:c r="C23" s="10" t="s">
        <x:v>233</x:v>
      </x:c>
      <x:c r="D23" s="10" t="n">
        <x:v>16</x:v>
      </x:c>
      <x:c r="E23" s="36" t="n">
        <x:v>10</x:v>
      </x:c>
      <x:c r="F23" s="10" t="s">
        <x:v>366</x:v>
      </x:c>
      <x:c r="G23" s="10" t="s">
        <x:v>45</x:v>
      </x:c>
      <x:c r="H23" s="16" t="n">
        <x:v>2</x:v>
      </x:c>
      <x:c r="I23" s="10" t="str">
        <x:v>SRC-010</x:v>
      </x:c>
      <x:c r="J23" s="10"/>
      <x:c r="K23" s="10"/>
      <x:c r="L23" s="10" t="str">
        <x:v>ISO 7040/DIN 985 tipi kamuya açık ölçü tablolarıyla çapraz kontrol; lisanslı standartla son doğrulama gerekli</x:v>
      </x:c>
    </x:row>
    <x:row r="24" ht="15" hidden="0">
      <x:c r="A24" s="10" t="s">
        <x:v>369</x:v>
      </x:c>
      <x:c r="B24" s="10" t="s">
        <x:v>128</x:v>
      </x:c>
      <x:c r="C24" s="10" t="s">
        <x:v>234</x:v>
      </x:c>
      <x:c r="D24" s="10" t="n">
        <x:v>18</x:v>
      </x:c>
      <x:c r="E24" s="36" t="n">
        <x:v>12</x:v>
      </x:c>
      <x:c r="F24" s="10" t="s">
        <x:v>366</x:v>
      </x:c>
      <x:c r="G24" s="10" t="s">
        <x:v>45</x:v>
      </x:c>
      <x:c r="H24" s="16" t="n">
        <x:v>2</x:v>
      </x:c>
      <x:c r="I24" s="10" t="str">
        <x:v>SRC-010</x:v>
      </x:c>
      <x:c r="J24" s="10"/>
      <x:c r="K24" s="10"/>
      <x:c r="L24" s="10" t="str">
        <x:v>ISO 7040/DIN 985 tipi kamuya açık ölçü tablolarıyla çapraz kontrol; lisanslı standartla son doğrulama gerekli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3" hidden="0" customWidth="1"/>
    <x:col min="3" max="3" width="12" hidden="0" customWidth="1"/>
    <x:col min="4" max="5" width="14" hidden="0" customWidth="1"/>
    <x:col min="6" max="6" width="13" hidden="0" customWidth="1"/>
    <x:col min="7" max="7" width="12" hidden="0" customWidth="1"/>
    <x:col min="8" max="8" width="8" hidden="0" customWidth="1"/>
    <x:col min="9" max="9" width="12" hidden="0" customWidth="1"/>
    <x:col min="10" max="10" width="14" hidden="0" customWidth="1"/>
    <x:col min="11" max="11" width="12" hidden="0" customWidth="1"/>
    <x:col min="12" max="12" width="34" hidden="0" customWidth="1"/>
  </x:cols>
  <x:sheetData>
    <x:row r="1" ht="16.149999618530273" hidden="0">
      <x:c r="A1" s="1" t="s">
        <x:v>370</x:v>
      </x:c>
    </x:row>
    <x:row r="3" ht="23.850000381469727" hidden="0">
      <x:c r="A3" s="9" t="s">
        <x:v>299</x:v>
      </x:c>
      <x:c r="B3" s="9" t="s">
        <x:v>82</x:v>
      </x:c>
      <x:c r="C3" s="9" t="s">
        <x:v>217</x:v>
      </x:c>
      <x:c r="D3" s="9" t="s">
        <x:v>371</x:v>
      </x:c>
      <x:c r="E3" s="9" t="s">
        <x:v>372</x:v>
      </x:c>
      <x:c r="F3" s="9" t="s">
        <x:v>373</x:v>
      </x:c>
      <x:c r="G3" s="9" t="s">
        <x:v>374</x:v>
      </x:c>
      <x:c r="H3" s="9" t="s">
        <x:v>225</x:v>
      </x:c>
      <x:c r="I3" s="9" t="s">
        <x:v>36</x:v>
      </x:c>
      <x:c r="J3" s="9" t="s">
        <x:v>306</x:v>
      </x:c>
      <x:c r="K3" s="9" t="s">
        <x:v>307</x:v>
      </x:c>
      <x:c r="L3" s="9" t="s">
        <x:v>41</x:v>
      </x:c>
    </x:row>
    <x:row r="4" ht="15" hidden="0">
      <x:c r="A4" s="10" t="s">
        <x:v>375</x:v>
      </x:c>
      <x:c r="B4" s="10" t="s">
        <x:v>138</x:v>
      </x:c>
      <x:c r="C4" s="10" t="s">
        <x:v>230</x:v>
      </x:c>
      <x:c r="D4" s="10" t="n">
        <x:v>5.3</x:v>
      </x:c>
      <x:c r="E4" s="10" t="n">
        <x:v>10</x:v>
      </x:c>
      <x:c r="F4" s="10" t="n">
        <x:v>1</x:v>
      </x:c>
      <x:c r="G4" s="10" t="s">
        <x:v>142</x:v>
      </x:c>
      <x:c r="H4" s="14" t="n">
        <x:v>3</x:v>
      </x:c>
      <x:c r="I4" s="10" t="s">
        <x:v>58</x:v>
      </x:c>
      <x:c r="J4" s="10"/>
      <x:c r="K4" s="10"/>
      <x:c r="L4" s="10" t="s">
        <x:v>376</x:v>
      </x:c>
    </x:row>
    <x:row r="5" ht="15" hidden="0">
      <x:c r="A5" s="10" t="s">
        <x:v>377</x:v>
      </x:c>
      <x:c r="B5" s="10" t="s">
        <x:v>138</x:v>
      </x:c>
      <x:c r="C5" s="10" t="s">
        <x:v>231</x:v>
      </x:c>
      <x:c r="D5" s="10" t="n">
        <x:v>6.4</x:v>
      </x:c>
      <x:c r="E5" s="10" t="n">
        <x:v>12</x:v>
      </x:c>
      <x:c r="F5" s="10" t="n">
        <x:v>1.6</x:v>
      </x:c>
      <x:c r="G5" s="10" t="s">
        <x:v>142</x:v>
      </x:c>
      <x:c r="H5" s="14" t="n">
        <x:v>3</x:v>
      </x:c>
      <x:c r="I5" s="10" t="s">
        <x:v>58</x:v>
      </x:c>
      <x:c r="J5" s="10"/>
      <x:c r="K5" s="10"/>
      <x:c r="L5" s="10" t="s">
        <x:v>376</x:v>
      </x:c>
    </x:row>
    <x:row r="6" ht="15" hidden="0">
      <x:c r="A6" s="10" t="s">
        <x:v>378</x:v>
      </x:c>
      <x:c r="B6" s="10" t="s">
        <x:v>138</x:v>
      </x:c>
      <x:c r="C6" s="10" t="s">
        <x:v>232</x:v>
      </x:c>
      <x:c r="D6" s="10" t="n">
        <x:v>8.4</x:v>
      </x:c>
      <x:c r="E6" s="10" t="n">
        <x:v>16</x:v>
      </x:c>
      <x:c r="F6" s="10" t="n">
        <x:v>1.6</x:v>
      </x:c>
      <x:c r="G6" s="10" t="s">
        <x:v>142</x:v>
      </x:c>
      <x:c r="H6" s="14" t="n">
        <x:v>3</x:v>
      </x:c>
      <x:c r="I6" s="10" t="s">
        <x:v>58</x:v>
      </x:c>
      <x:c r="J6" s="10"/>
      <x:c r="K6" s="10"/>
      <x:c r="L6" s="10" t="s">
        <x:v>376</x:v>
      </x:c>
    </x:row>
    <x:row r="7" ht="15" hidden="0">
      <x:c r="A7" s="10" t="s">
        <x:v>379</x:v>
      </x:c>
      <x:c r="B7" s="10" t="s">
        <x:v>138</x:v>
      </x:c>
      <x:c r="C7" s="10" t="s">
        <x:v>233</x:v>
      </x:c>
      <x:c r="D7" s="10" t="n">
        <x:v>10.5</x:v>
      </x:c>
      <x:c r="E7" s="10" t="n">
        <x:v>20</x:v>
      </x:c>
      <x:c r="F7" s="10" t="n">
        <x:v>2</x:v>
      </x:c>
      <x:c r="G7" s="10" t="s">
        <x:v>142</x:v>
      </x:c>
      <x:c r="H7" s="14" t="n">
        <x:v>3</x:v>
      </x:c>
      <x:c r="I7" s="10" t="s">
        <x:v>58</x:v>
      </x:c>
      <x:c r="J7" s="10"/>
      <x:c r="K7" s="10"/>
      <x:c r="L7" s="10" t="s">
        <x:v>376</x:v>
      </x:c>
    </x:row>
    <x:row r="8" ht="15" hidden="0">
      <x:c r="A8" s="10" t="s">
        <x:v>380</x:v>
      </x:c>
      <x:c r="B8" s="10" t="s">
        <x:v>138</x:v>
      </x:c>
      <x:c r="C8" s="10" t="s">
        <x:v>234</x:v>
      </x:c>
      <x:c r="D8" s="10" t="n">
        <x:v>13</x:v>
      </x:c>
      <x:c r="E8" s="10" t="n">
        <x:v>24</x:v>
      </x:c>
      <x:c r="F8" s="10" t="n">
        <x:v>2.5</x:v>
      </x:c>
      <x:c r="G8" s="10" t="s">
        <x:v>142</x:v>
      </x:c>
      <x:c r="H8" s="14" t="n">
        <x:v>3</x:v>
      </x:c>
      <x:c r="I8" s="10" t="s">
        <x:v>58</x:v>
      </x:c>
      <x:c r="J8" s="10"/>
      <x:c r="K8" s="10"/>
      <x:c r="L8" s="10" t="s">
        <x:v>376</x:v>
      </x:c>
    </x:row>
    <x:row r="9" ht="15" hidden="0">
      <x:c r="A9" s="10" t="s">
        <x:v>381</x:v>
      </x:c>
      <x:c r="B9" s="10" t="s">
        <x:v>138</x:v>
      </x:c>
      <x:c r="C9" s="10" t="s">
        <x:v>235</x:v>
      </x:c>
      <x:c r="D9" s="10" t="n">
        <x:v>15</x:v>
      </x:c>
      <x:c r="E9" s="10" t="n">
        <x:v>28</x:v>
      </x:c>
      <x:c r="F9" s="10" t="n">
        <x:v>2.5</x:v>
      </x:c>
      <x:c r="G9" s="10" t="s">
        <x:v>142</x:v>
      </x:c>
      <x:c r="H9" s="14" t="n">
        <x:v>3</x:v>
      </x:c>
      <x:c r="I9" s="10" t="s">
        <x:v>58</x:v>
      </x:c>
      <x:c r="J9" s="10"/>
      <x:c r="K9" s="10"/>
      <x:c r="L9" s="10" t="s">
        <x:v>376</x:v>
      </x:c>
    </x:row>
    <x:row r="10" ht="15" hidden="0">
      <x:c r="A10" s="10" t="s">
        <x:v>382</x:v>
      </x:c>
      <x:c r="B10" s="10" t="s">
        <x:v>138</x:v>
      </x:c>
      <x:c r="C10" s="10" t="s">
        <x:v>236</x:v>
      </x:c>
      <x:c r="D10" s="10" t="n">
        <x:v>17</x:v>
      </x:c>
      <x:c r="E10" s="10" t="n">
        <x:v>30</x:v>
      </x:c>
      <x:c r="F10" s="10" t="n">
        <x:v>3</x:v>
      </x:c>
      <x:c r="G10" s="10" t="s">
        <x:v>142</x:v>
      </x:c>
      <x:c r="H10" s="14" t="n">
        <x:v>3</x:v>
      </x:c>
      <x:c r="I10" s="10" t="s">
        <x:v>58</x:v>
      </x:c>
      <x:c r="J10" s="10"/>
      <x:c r="K10" s="10"/>
      <x:c r="L10" s="10" t="s">
        <x:v>376</x:v>
      </x:c>
    </x:row>
    <x:row r="11" ht="15" hidden="0">
      <x:c r="A11" s="10" t="s">
        <x:v>383</x:v>
      </x:c>
      <x:c r="B11" s="10" t="s">
        <x:v>138</x:v>
      </x:c>
      <x:c r="C11" s="10" t="s">
        <x:v>238</x:v>
      </x:c>
      <x:c r="D11" s="10" t="n">
        <x:v>21</x:v>
      </x:c>
      <x:c r="E11" s="10" t="n">
        <x:v>37</x:v>
      </x:c>
      <x:c r="F11" s="10" t="n">
        <x:v>3</x:v>
      </x:c>
      <x:c r="G11" s="10" t="s">
        <x:v>142</x:v>
      </x:c>
      <x:c r="H11" s="14" t="n">
        <x:v>3</x:v>
      </x:c>
      <x:c r="I11" s="10" t="s">
        <x:v>58</x:v>
      </x:c>
      <x:c r="J11" s="10"/>
      <x:c r="K11" s="10"/>
      <x:c r="L11" s="10" t="s">
        <x:v>376</x:v>
      </x:c>
    </x:row>
    <x:row r="12" ht="15" hidden="0">
      <x:c r="A12" s="10" t="s">
        <x:v>384</x:v>
      </x:c>
      <x:c r="B12" s="10" t="s">
        <x:v>138</x:v>
      </x:c>
      <x:c r="C12" s="10" t="s">
        <x:v>240</x:v>
      </x:c>
      <x:c r="D12" s="10" t="n">
        <x:v>25</x:v>
      </x:c>
      <x:c r="E12" s="10" t="n">
        <x:v>44</x:v>
      </x:c>
      <x:c r="F12" s="10" t="n">
        <x:v>4</x:v>
      </x:c>
      <x:c r="G12" s="10" t="s">
        <x:v>142</x:v>
      </x:c>
      <x:c r="H12" s="14" t="n">
        <x:v>3</x:v>
      </x:c>
      <x:c r="I12" s="10" t="s">
        <x:v>58</x:v>
      </x:c>
      <x:c r="J12" s="10"/>
      <x:c r="K12" s="10"/>
      <x:c r="L12" s="10" t="s">
        <x:v>376</x:v>
      </x:c>
    </x:row>
    <x:row r="13" ht="15" hidden="0">
      <x:c r="A13" s="10" t="s">
        <x:v>385</x:v>
      </x:c>
      <x:c r="B13" s="10" t="s">
        <x:v>143</x:v>
      </x:c>
      <x:c r="C13" s="10" t="s">
        <x:v>230</x:v>
      </x:c>
      <x:c r="D13" s="10" t="n">
        <x:v>5.3</x:v>
      </x:c>
      <x:c r="E13" s="10" t="n">
        <x:v>10</x:v>
      </x:c>
      <x:c r="F13" s="10" t="n">
        <x:v>1</x:v>
      </x:c>
      <x:c r="G13" s="10" t="s">
        <x:v>146</x:v>
      </x:c>
      <x:c r="H13" s="14" t="n">
        <x:v>3</x:v>
      </x:c>
      <x:c r="I13" s="10" t="s">
        <x:v>58</x:v>
      </x:c>
      <x:c r="J13" s="10"/>
      <x:c r="K13" s="10"/>
      <x:c r="L13" s="10" t="s">
        <x:v>386</x:v>
      </x:c>
    </x:row>
    <x:row r="14" ht="15" hidden="0">
      <x:c r="A14" s="10" t="s">
        <x:v>387</x:v>
      </x:c>
      <x:c r="B14" s="10" t="s">
        <x:v>143</x:v>
      </x:c>
      <x:c r="C14" s="10" t="s">
        <x:v>231</x:v>
      </x:c>
      <x:c r="D14" s="10" t="n">
        <x:v>6.4</x:v>
      </x:c>
      <x:c r="E14" s="10" t="n">
        <x:v>12</x:v>
      </x:c>
      <x:c r="F14" s="10" t="n">
        <x:v>1.6</x:v>
      </x:c>
      <x:c r="G14" s="10" t="s">
        <x:v>146</x:v>
      </x:c>
      <x:c r="H14" s="14" t="n">
        <x:v>3</x:v>
      </x:c>
      <x:c r="I14" s="10" t="s">
        <x:v>58</x:v>
      </x:c>
      <x:c r="J14" s="10"/>
      <x:c r="K14" s="10"/>
      <x:c r="L14" s="10" t="s">
        <x:v>386</x:v>
      </x:c>
    </x:row>
    <x:row r="15" ht="15" hidden="0">
      <x:c r="A15" s="10" t="s">
        <x:v>388</x:v>
      </x:c>
      <x:c r="B15" s="10" t="s">
        <x:v>143</x:v>
      </x:c>
      <x:c r="C15" s="10" t="s">
        <x:v>232</x:v>
      </x:c>
      <x:c r="D15" s="10" t="n">
        <x:v>8.4</x:v>
      </x:c>
      <x:c r="E15" s="10" t="n">
        <x:v>16</x:v>
      </x:c>
      <x:c r="F15" s="10" t="n">
        <x:v>1.6</x:v>
      </x:c>
      <x:c r="G15" s="10" t="s">
        <x:v>146</x:v>
      </x:c>
      <x:c r="H15" s="14" t="n">
        <x:v>3</x:v>
      </x:c>
      <x:c r="I15" s="10" t="s">
        <x:v>58</x:v>
      </x:c>
      <x:c r="J15" s="10"/>
      <x:c r="K15" s="10"/>
      <x:c r="L15" s="10" t="s">
        <x:v>386</x:v>
      </x:c>
    </x:row>
    <x:row r="16" ht="15" hidden="0">
      <x:c r="A16" s="10" t="s">
        <x:v>389</x:v>
      </x:c>
      <x:c r="B16" s="10" t="s">
        <x:v>143</x:v>
      </x:c>
      <x:c r="C16" s="10" t="s">
        <x:v>233</x:v>
      </x:c>
      <x:c r="D16" s="10" t="n">
        <x:v>10.5</x:v>
      </x:c>
      <x:c r="E16" s="10" t="n">
        <x:v>20</x:v>
      </x:c>
      <x:c r="F16" s="10" t="n">
        <x:v>2</x:v>
      </x:c>
      <x:c r="G16" s="10" t="s">
        <x:v>146</x:v>
      </x:c>
      <x:c r="H16" s="14" t="n">
        <x:v>3</x:v>
      </x:c>
      <x:c r="I16" s="10" t="s">
        <x:v>58</x:v>
      </x:c>
      <x:c r="J16" s="10"/>
      <x:c r="K16" s="10"/>
      <x:c r="L16" s="10" t="s">
        <x:v>386</x:v>
      </x:c>
    </x:row>
    <x:row r="17" ht="15" hidden="0">
      <x:c r="A17" s="10" t="s">
        <x:v>390</x:v>
      </x:c>
      <x:c r="B17" s="10" t="s">
        <x:v>143</x:v>
      </x:c>
      <x:c r="C17" s="10" t="s">
        <x:v>234</x:v>
      </x:c>
      <x:c r="D17" s="10" t="n">
        <x:v>13</x:v>
      </x:c>
      <x:c r="E17" s="10" t="n">
        <x:v>24</x:v>
      </x:c>
      <x:c r="F17" s="10" t="n">
        <x:v>2.5</x:v>
      </x:c>
      <x:c r="G17" s="10" t="s">
        <x:v>146</x:v>
      </x:c>
      <x:c r="H17" s="14" t="n">
        <x:v>3</x:v>
      </x:c>
      <x:c r="I17" s="10" t="s">
        <x:v>58</x:v>
      </x:c>
      <x:c r="J17" s="10"/>
      <x:c r="K17" s="10"/>
      <x:c r="L17" s="10" t="s">
        <x:v>386</x:v>
      </x:c>
    </x:row>
    <x:row r="18" ht="15" hidden="0">
      <x:c r="A18" s="10" t="s">
        <x:v>391</x:v>
      </x:c>
      <x:c r="B18" s="10" t="s">
        <x:v>143</x:v>
      </x:c>
      <x:c r="C18" s="10" t="s">
        <x:v>235</x:v>
      </x:c>
      <x:c r="D18" s="10" t="n">
        <x:v>15</x:v>
      </x:c>
      <x:c r="E18" s="10" t="n">
        <x:v>28</x:v>
      </x:c>
      <x:c r="F18" s="10" t="n">
        <x:v>2.5</x:v>
      </x:c>
      <x:c r="G18" s="10" t="s">
        <x:v>146</x:v>
      </x:c>
      <x:c r="H18" s="14" t="n">
        <x:v>3</x:v>
      </x:c>
      <x:c r="I18" s="10" t="s">
        <x:v>58</x:v>
      </x:c>
      <x:c r="J18" s="10"/>
      <x:c r="K18" s="10"/>
      <x:c r="L18" s="10" t="s">
        <x:v>386</x:v>
      </x:c>
    </x:row>
    <x:row r="19" ht="15" hidden="0">
      <x:c r="A19" s="10" t="s">
        <x:v>392</x:v>
      </x:c>
      <x:c r="B19" s="10" t="s">
        <x:v>143</x:v>
      </x:c>
      <x:c r="C19" s="10" t="s">
        <x:v>236</x:v>
      </x:c>
      <x:c r="D19" s="10" t="n">
        <x:v>17</x:v>
      </x:c>
      <x:c r="E19" s="10" t="n">
        <x:v>30</x:v>
      </x:c>
      <x:c r="F19" s="10" t="n">
        <x:v>3</x:v>
      </x:c>
      <x:c r="G19" s="10" t="s">
        <x:v>146</x:v>
      </x:c>
      <x:c r="H19" s="14" t="n">
        <x:v>3</x:v>
      </x:c>
      <x:c r="I19" s="10" t="s">
        <x:v>58</x:v>
      </x:c>
      <x:c r="J19" s="10"/>
      <x:c r="K19" s="10"/>
      <x:c r="L19" s="10" t="s">
        <x:v>386</x:v>
      </x:c>
    </x:row>
    <x:row r="20" ht="15" hidden="0">
      <x:c r="A20" s="10" t="s">
        <x:v>393</x:v>
      </x:c>
      <x:c r="B20" s="10" t="s">
        <x:v>143</x:v>
      </x:c>
      <x:c r="C20" s="10" t="s">
        <x:v>238</x:v>
      </x:c>
      <x:c r="D20" s="10" t="n">
        <x:v>21</x:v>
      </x:c>
      <x:c r="E20" s="10" t="n">
        <x:v>37</x:v>
      </x:c>
      <x:c r="F20" s="10" t="n">
        <x:v>3</x:v>
      </x:c>
      <x:c r="G20" s="10" t="s">
        <x:v>146</x:v>
      </x:c>
      <x:c r="H20" s="14" t="n">
        <x:v>3</x:v>
      </x:c>
      <x:c r="I20" s="10" t="s">
        <x:v>58</x:v>
      </x:c>
      <x:c r="J20" s="10"/>
      <x:c r="K20" s="10"/>
      <x:c r="L20" s="10" t="s">
        <x:v>386</x:v>
      </x:c>
    </x:row>
    <x:row r="21" ht="15" hidden="0">
      <x:c r="A21" s="10" t="s">
        <x:v>394</x:v>
      </x:c>
      <x:c r="B21" s="10" t="s">
        <x:v>143</x:v>
      </x:c>
      <x:c r="C21" s="10" t="s">
        <x:v>240</x:v>
      </x:c>
      <x:c r="D21" s="10" t="n">
        <x:v>25</x:v>
      </x:c>
      <x:c r="E21" s="10" t="n">
        <x:v>44</x:v>
      </x:c>
      <x:c r="F21" s="10" t="n">
        <x:v>4</x:v>
      </x:c>
      <x:c r="G21" s="10" t="s">
        <x:v>146</x:v>
      </x:c>
      <x:c r="H21" s="14" t="n">
        <x:v>3</x:v>
      </x:c>
      <x:c r="I21" s="10" t="s">
        <x:v>58</x:v>
      </x:c>
      <x:c r="J21" s="10"/>
      <x:c r="K21" s="10"/>
      <x:c r="L21" s="10" t="s">
        <x:v>386</x:v>
      </x:c>
    </x:row>
    <x:row r="22" ht="15" hidden="0">
      <x:c r="A22" s="10" t="s">
        <x:v>395</x:v>
      </x:c>
      <x:c r="B22" s="10" t="s">
        <x:v>152</x:v>
      </x:c>
      <x:c r="C22" s="10" t="s">
        <x:v>231</x:v>
      </x:c>
      <x:c r="D22" s="10" t="n">
        <x:v>6.4</x:v>
      </x:c>
      <x:c r="E22" s="10" t="n">
        <x:v>18</x:v>
      </x:c>
      <x:c r="F22" s="10" t="n">
        <x:v>1.6</x:v>
      </x:c>
      <x:c r="G22" s="10" t="s">
        <x:v>142</x:v>
      </x:c>
      <x:c r="H22" s="14" t="n">
        <x:v>3</x:v>
      </x:c>
      <x:c r="I22" s="10" t="s">
        <x:v>58</x:v>
      </x:c>
      <x:c r="J22" s="10"/>
      <x:c r="K22" s="10"/>
      <x:c r="L22" s="10" t="s">
        <x:v>396</x:v>
      </x:c>
    </x:row>
    <x:row r="23" ht="15" hidden="0">
      <x:c r="A23" s="10" t="s">
        <x:v>397</x:v>
      </x:c>
      <x:c r="B23" s="10" t="s">
        <x:v>152</x:v>
      </x:c>
      <x:c r="C23" s="10" t="s">
        <x:v>232</x:v>
      </x:c>
      <x:c r="D23" s="10" t="n">
        <x:v>8.4</x:v>
      </x:c>
      <x:c r="E23" s="10" t="n">
        <x:v>24</x:v>
      </x:c>
      <x:c r="F23" s="10" t="n">
        <x:v>2</x:v>
      </x:c>
      <x:c r="G23" s="10" t="s">
        <x:v>142</x:v>
      </x:c>
      <x:c r="H23" s="14" t="n">
        <x:v>3</x:v>
      </x:c>
      <x:c r="I23" s="10" t="s">
        <x:v>58</x:v>
      </x:c>
      <x:c r="J23" s="10"/>
      <x:c r="K23" s="10"/>
      <x:c r="L23" s="10" t="s">
        <x:v>396</x:v>
      </x:c>
    </x:row>
    <x:row r="24" ht="15" hidden="0">
      <x:c r="A24" s="10" t="s">
        <x:v>398</x:v>
      </x:c>
      <x:c r="B24" s="10" t="s">
        <x:v>152</x:v>
      </x:c>
      <x:c r="C24" s="10" t="s">
        <x:v>233</x:v>
      </x:c>
      <x:c r="D24" s="10" t="n">
        <x:v>10.5</x:v>
      </x:c>
      <x:c r="E24" s="10" t="n">
        <x:v>30</x:v>
      </x:c>
      <x:c r="F24" s="10" t="n">
        <x:v>2.5</x:v>
      </x:c>
      <x:c r="G24" s="10" t="s">
        <x:v>142</x:v>
      </x:c>
      <x:c r="H24" s="14" t="n">
        <x:v>3</x:v>
      </x:c>
      <x:c r="I24" s="10" t="s">
        <x:v>58</x:v>
      </x:c>
      <x:c r="J24" s="10"/>
      <x:c r="K24" s="10"/>
      <x:c r="L24" s="10" t="s">
        <x:v>396</x:v>
      </x:c>
    </x:row>
    <x:row r="25" ht="15" hidden="0">
      <x:c r="A25" s="10" t="s">
        <x:v>399</x:v>
      </x:c>
      <x:c r="B25" s="10" t="s">
        <x:v>152</x:v>
      </x:c>
      <x:c r="C25" s="10" t="s">
        <x:v>234</x:v>
      </x:c>
      <x:c r="D25" s="10" t="n">
        <x:v>13</x:v>
      </x:c>
      <x:c r="E25" s="10" t="n">
        <x:v>37</x:v>
      </x:c>
      <x:c r="F25" s="10" t="n">
        <x:v>3</x:v>
      </x:c>
      <x:c r="G25" s="10" t="s">
        <x:v>142</x:v>
      </x:c>
      <x:c r="H25" s="14" t="n">
        <x:v>3</x:v>
      </x:c>
      <x:c r="I25" s="10" t="s">
        <x:v>58</x:v>
      </x:c>
      <x:c r="J25" s="10"/>
      <x:c r="K25" s="10"/>
      <x:c r="L25" s="10" t="s">
        <x:v>396</x:v>
      </x:c>
    </x:row>
    <x:row r="26" ht="15" hidden="0">
      <x:c r="A26" s="10" t="s">
        <x:v>400</x:v>
      </x:c>
      <x:c r="B26" s="10" t="s">
        <x:v>152</x:v>
      </x:c>
      <x:c r="C26" s="10" t="s">
        <x:v>236</x:v>
      </x:c>
      <x:c r="D26" s="10" t="n">
        <x:v>17</x:v>
      </x:c>
      <x:c r="E26" s="10" t="n">
        <x:v>50</x:v>
      </x:c>
      <x:c r="F26" s="10" t="n">
        <x:v>3</x:v>
      </x:c>
      <x:c r="G26" s="10" t="s">
        <x:v>142</x:v>
      </x:c>
      <x:c r="H26" s="14" t="n">
        <x:v>3</x:v>
      </x:c>
      <x:c r="I26" s="10" t="s">
        <x:v>58</x:v>
      </x:c>
      <x:c r="J26" s="10"/>
      <x:c r="K26" s="10"/>
      <x:c r="L26" s="10" t="s">
        <x:v>396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22" hidden="0" customWidth="1"/>
    <x:col min="3" max="3" width="16" hidden="0" customWidth="1"/>
    <x:col min="4" max="4" width="20" hidden="0" customWidth="1"/>
    <x:col min="5" max="6" width="14" hidden="0" customWidth="1"/>
    <x:col min="7" max="12" width="11" hidden="0" customWidth="1"/>
    <x:col min="13" max="13" width="16" hidden="0" customWidth="1"/>
    <x:col min="14" max="14" width="14" hidden="0" customWidth="1"/>
    <x:col min="15" max="15" width="8" hidden="0" customWidth="1"/>
    <x:col min="16" max="16" width="12" hidden="0" customWidth="1"/>
    <x:col min="17" max="17" width="36" hidden="0" customWidth="1"/>
  </x:cols>
  <x:sheetData>
    <x:row r="1" ht="16.149999618530273" hidden="0">
      <x:c r="A1" s="1" t="s">
        <x:v>401</x:v>
      </x:c>
    </x:row>
    <x:row r="3" ht="23.850000381469727" hidden="0">
      <x:c r="A3" s="9" t="s">
        <x:v>299</x:v>
      </x:c>
      <x:c r="B3" s="9" t="s">
        <x:v>402</x:v>
      </x:c>
      <x:c r="C3" s="9" t="s">
        <x:v>403</x:v>
      </x:c>
      <x:c r="D3" s="9" t="s">
        <x:v>404</x:v>
      </x:c>
      <x:c r="E3" s="9" t="s">
        <x:v>405</x:v>
      </x:c>
      <x:c r="F3" s="9" t="s">
        <x:v>406</x:v>
      </x:c>
      <x:c r="G3" s="9" t="s">
        <x:v>407</x:v>
      </x:c>
      <x:c r="H3" s="9" t="s">
        <x:v>408</x:v>
      </x:c>
      <x:c r="I3" s="9" t="s">
        <x:v>409</x:v>
      </x:c>
      <x:c r="J3" s="9" t="s">
        <x:v>410</x:v>
      </x:c>
      <x:c r="K3" s="9" t="s">
        <x:v>411</x:v>
      </x:c>
      <x:c r="L3" s="9" t="s">
        <x:v>412</x:v>
      </x:c>
      <x:c r="M3" s="9" t="s">
        <x:v>413</x:v>
      </x:c>
      <x:c r="N3" s="9" t="s">
        <x:v>414</x:v>
      </x:c>
      <x:c r="O3" s="9" t="s">
        <x:v>225</x:v>
      </x:c>
      <x:c r="P3" s="9" t="s">
        <x:v>36</x:v>
      </x:c>
      <x:c r="Q3" s="9" t="s">
        <x:v>41</x:v>
      </x:c>
    </x:row>
    <x:row r="4" ht="15" hidden="0">
      <x:c r="A4" s="10" t="s">
        <x:v>415</x:v>
      </x:c>
      <x:c r="B4" s="10" t="s">
        <x:v>416</x:v>
      </x:c>
      <x:c r="C4" s="10" t="s">
        <x:v>201</x:v>
      </x:c>
      <x:c r="D4" s="10" t="s">
        <x:v>417</x:v>
      </x:c>
      <x:c r="E4" s="10" t="s">
        <x:v>45</x:v>
      </x:c>
      <x:c r="F4" s="10" t="s">
        <x:v>212</x:v>
      </x:c>
      <x:c r="G4" s="15"/>
      <x:c r="H4" s="15"/>
      <x:c r="I4" s="15"/>
      <x:c r="J4" s="15"/>
      <x:c r="K4" s="10" t="n">
        <x:v>0.1</x:v>
      </x:c>
      <x:c r="L4" s="10" t="n">
        <x:v>0.16</x:v>
      </x:c>
      <x:c r="M4" s="10"/>
      <x:c r="N4" s="10" t="s">
        <x:v>418</x:v>
      </x:c>
      <x:c r="O4" s="16" t="n">
        <x:v>1</x:v>
      </x:c>
      <x:c r="P4" s="10" t="s">
        <x:v>61</x:v>
      </x:c>
      <x:c r="Q4" s="10" t="s">
        <x:v>419</x:v>
      </x:c>
    </x:row>
    <x:row r="5" ht="15" hidden="0">
      <x:c r="A5" s="10" t="s">
        <x:v>420</x:v>
      </x:c>
      <x:c r="B5" s="10" t="s">
        <x:v>421</x:v>
      </x:c>
      <x:c r="C5" s="10" t="s">
        <x:v>201</x:v>
      </x:c>
      <x:c r="D5" s="10" t="s">
        <x:v>417</x:v>
      </x:c>
      <x:c r="E5" s="10" t="s">
        <x:v>45</x:v>
      </x:c>
      <x:c r="F5" s="10" t="s">
        <x:v>212</x:v>
      </x:c>
      <x:c r="G5" s="15"/>
      <x:c r="H5" s="15"/>
      <x:c r="I5" s="15"/>
      <x:c r="J5" s="15"/>
      <x:c r="K5" s="10" t="n">
        <x:v>0.09</x:v>
      </x:c>
      <x:c r="L5" s="10" t="n">
        <x:v>0.14</x:v>
      </x:c>
      <x:c r="M5" s="10"/>
      <x:c r="N5" s="10" t="s">
        <x:v>422</x:v>
      </x:c>
      <x:c r="O5" s="16" t="n">
        <x:v>1</x:v>
      </x:c>
      <x:c r="P5" s="10" t="s">
        <x:v>61</x:v>
      </x:c>
      <x:c r="Q5" s="10" t="s">
        <x:v>423</x:v>
      </x:c>
    </x:row>
    <x:row r="6" ht="15" hidden="0">
      <x:c r="A6" s="10" t="s">
        <x:v>424</x:v>
      </x:c>
      <x:c r="B6" s="10" t="s">
        <x:v>425</x:v>
      </x:c>
      <x:c r="C6" s="10" t="s">
        <x:v>206</x:v>
      </x:c>
      <x:c r="D6" s="10" t="s">
        <x:v>426</x:v>
      </x:c>
      <x:c r="E6" s="10" t="s">
        <x:v>45</x:v>
      </x:c>
      <x:c r="F6" s="10" t="s">
        <x:v>212</x:v>
      </x:c>
      <x:c r="G6" s="15"/>
      <x:c r="H6" s="15"/>
      <x:c r="I6" s="15"/>
      <x:c r="J6" s="15"/>
      <x:c r="K6" s="10" t="n">
        <x:v>0.09</x:v>
      </x:c>
      <x:c r="L6" s="10" t="n">
        <x:v>0.15</x:v>
      </x:c>
      <x:c r="M6" s="10"/>
      <x:c r="N6" s="10" t="s">
        <x:v>422</x:v>
      </x:c>
      <x:c r="O6" s="16" t="n">
        <x:v>1</x:v>
      </x:c>
      <x:c r="P6" s="10" t="s">
        <x:v>61</x:v>
      </x:c>
      <x:c r="Q6" s="10" t="s">
        <x:v>427</x:v>
      </x:c>
    </x:row>
    <x:row r="7" ht="15" hidden="0">
      <x:c r="A7" s="10" t="s">
        <x:v>428</x:v>
      </x:c>
      <x:c r="B7" s="10" t="s">
        <x:v>429</x:v>
      </x:c>
      <x:c r="C7" s="10" t="s">
        <x:v>45</x:v>
      </x:c>
      <x:c r="D7" s="10" t="s">
        <x:v>430</x:v>
      </x:c>
      <x:c r="E7" s="10" t="s">
        <x:v>45</x:v>
      </x:c>
      <x:c r="F7" s="10" t="s">
        <x:v>212</x:v>
      </x:c>
      <x:c r="G7" s="15"/>
      <x:c r="H7" s="15"/>
      <x:c r="I7" s="15"/>
      <x:c r="J7" s="15"/>
      <x:c r="K7" s="10" t="n">
        <x:v>0.1</x:v>
      </x:c>
      <x:c r="L7" s="10" t="n">
        <x:v>0.2</x:v>
      </x:c>
      <x:c r="M7" s="10"/>
      <x:c r="N7" s="10" t="s">
        <x:v>431</x:v>
      </x:c>
      <x:c r="O7" s="16" t="n">
        <x:v>1</x:v>
      </x:c>
      <x:c r="P7" s="10" t="s">
        <x:v>61</x:v>
      </x:c>
      <x:c r="Q7" s="10" t="s">
        <x:v>432</x:v>
      </x:c>
    </x:row>
    <x:row r="8" ht="15" hidden="0">
      <x:c r="A8" s="10" t="s">
        <x:v>433</x:v>
      </x:c>
      <x:c r="B8" s="10" t="s">
        <x:v>434</x:v>
      </x:c>
      <x:c r="C8" s="10" t="s">
        <x:v>45</x:v>
      </x:c>
      <x:c r="D8" s="10" t="s">
        <x:v>435</x:v>
      </x:c>
      <x:c r="E8" s="10" t="s">
        <x:v>45</x:v>
      </x:c>
      <x:c r="F8" s="10" t="s">
        <x:v>212</x:v>
      </x:c>
      <x:c r="G8" s="15"/>
      <x:c r="H8" s="15"/>
      <x:c r="I8" s="15"/>
      <x:c r="J8" s="15"/>
      <x:c r="K8" s="15"/>
      <x:c r="L8" s="15"/>
      <x:c r="M8" s="10"/>
      <x:c r="N8" s="10" t="s">
        <x:v>436</x:v>
      </x:c>
      <x:c r="O8" s="16" t="n">
        <x:v>1</x:v>
      </x:c>
      <x:c r="P8" s="10" t="s">
        <x:v>61</x:v>
      </x:c>
      <x:c r="Q8" s="10" t="s">
        <x:v>437</x:v>
      </x:c>
    </x:row>
    <x:row r="9" ht="15" hidden="0">
      <x:c r="A9" s="10" t="s">
        <x:v>438</x:v>
      </x:c>
      <x:c r="B9" s="10" t="s">
        <x:v>439</x:v>
      </x:c>
      <x:c r="C9" s="10" t="s">
        <x:v>45</x:v>
      </x:c>
      <x:c r="D9" s="10" t="s">
        <x:v>440</x:v>
      </x:c>
      <x:c r="E9" s="10" t="s">
        <x:v>45</x:v>
      </x:c>
      <x:c r="F9" s="10" t="s">
        <x:v>212</x:v>
      </x:c>
      <x:c r="G9" s="15"/>
      <x:c r="H9" s="15"/>
      <x:c r="I9" s="15"/>
      <x:c r="J9" s="15"/>
      <x:c r="K9" s="15"/>
      <x:c r="L9" s="15"/>
      <x:c r="M9" s="10"/>
      <x:c r="N9" s="10" t="s">
        <x:v>441</x:v>
      </x:c>
      <x:c r="O9" s="16" t="n">
        <x:v>1</x:v>
      </x:c>
      <x:c r="P9" s="10" t="s">
        <x:v>61</x:v>
      </x:c>
      <x:c r="Q9" s="10" t="s">
        <x:v>442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22" hidden="0" customWidth="1"/>
    <x:col min="3" max="3" width="20" hidden="0" customWidth="1"/>
    <x:col min="4" max="5" width="13" hidden="0" customWidth="1"/>
    <x:col min="6" max="7" width="16" hidden="0" customWidth="1"/>
    <x:col min="8" max="8" width="44" hidden="0" customWidth="1"/>
    <x:col min="9" max="9" width="8" hidden="0" customWidth="1"/>
    <x:col min="10" max="10" width="12" hidden="0" customWidth="1"/>
  </x:cols>
  <x:sheetData>
    <x:row r="1" ht="16.149999618530273" hidden="0">
      <x:c r="A1" s="1" t="s">
        <x:v>443</x:v>
      </x:c>
    </x:row>
    <x:row r="3" ht="23.850000381469727" hidden="0">
      <x:c r="A3" s="9" t="s">
        <x:v>299</x:v>
      </x:c>
      <x:c r="B3" s="9" t="s">
        <x:v>444</x:v>
      </x:c>
      <x:c r="C3" s="9" t="s">
        <x:v>445</x:v>
      </x:c>
      <x:c r="D3" s="9" t="s">
        <x:v>446</x:v>
      </x:c>
      <x:c r="E3" s="9" t="s">
        <x:v>447</x:v>
      </x:c>
      <x:c r="F3" s="9" t="s">
        <x:v>448</x:v>
      </x:c>
      <x:c r="G3" s="9" t="s">
        <x:v>449</x:v>
      </x:c>
      <x:c r="H3" s="9" t="s">
        <x:v>450</x:v>
      </x:c>
      <x:c r="I3" s="9" t="s">
        <x:v>225</x:v>
      </x:c>
      <x:c r="J3" s="9" t="s">
        <x:v>36</x:v>
      </x:c>
    </x:row>
    <x:row r="4" ht="15" hidden="0">
      <x:c r="A4" s="10" t="s">
        <x:v>451</x:v>
      </x:c>
      <x:c r="B4" s="10" t="s">
        <x:v>452</x:v>
      </x:c>
      <x:c r="C4" s="10" t="s">
        <x:v>453</x:v>
      </x:c>
      <x:c r="D4" s="10" t="s">
        <x:v>454</x:v>
      </x:c>
      <x:c r="E4" s="10" t="s">
        <x:v>455</x:v>
      </x:c>
      <x:c r="F4" s="10" t="s">
        <x:v>455</x:v>
      </x:c>
      <x:c r="G4" s="10" t="s">
        <x:v>456</x:v>
      </x:c>
      <x:c r="H4" s="10" t="s">
        <x:v>457</x:v>
      </x:c>
      <x:c r="I4" s="16" t="n">
        <x:v>1</x:v>
      </x:c>
      <x:c r="J4" s="10" t="s">
        <x:v>67</x:v>
      </x:c>
    </x:row>
    <x:row r="5" ht="15" hidden="0">
      <x:c r="A5" s="10" t="s">
        <x:v>458</x:v>
      </x:c>
      <x:c r="B5" s="10" t="s">
        <x:v>459</x:v>
      </x:c>
      <x:c r="C5" s="10" t="s">
        <x:v>460</x:v>
      </x:c>
      <x:c r="D5" s="10" t="s">
        <x:v>454</x:v>
      </x:c>
      <x:c r="E5" s="10" t="s">
        <x:v>461</x:v>
      </x:c>
      <x:c r="F5" s="10" t="s">
        <x:v>462</x:v>
      </x:c>
      <x:c r="G5" s="10" t="s">
        <x:v>456</x:v>
      </x:c>
      <x:c r="H5" s="10" t="s">
        <x:v>463</x:v>
      </x:c>
      <x:c r="I5" s="16" t="n">
        <x:v>1</x:v>
      </x:c>
      <x:c r="J5" s="10" t="s">
        <x:v>67</x:v>
      </x:c>
    </x:row>
    <x:row r="6" ht="15" hidden="0">
      <x:c r="A6" s="10" t="s">
        <x:v>464</x:v>
      </x:c>
      <x:c r="B6" s="10" t="s">
        <x:v>465</x:v>
      </x:c>
      <x:c r="C6" s="10" t="s">
        <x:v>466</x:v>
      </x:c>
      <x:c r="D6" s="10" t="s">
        <x:v>455</x:v>
      </x:c>
      <x:c r="E6" s="10" t="s">
        <x:v>454</x:v>
      </x:c>
      <x:c r="F6" s="10" t="s">
        <x:v>467</x:v>
      </x:c>
      <x:c r="G6" s="10" t="s">
        <x:v>456</x:v>
      </x:c>
      <x:c r="H6" s="10" t="s">
        <x:v>468</x:v>
      </x:c>
      <x:c r="I6" s="16" t="n">
        <x:v>1</x:v>
      </x:c>
      <x:c r="J6" s="10" t="s">
        <x:v>67</x:v>
      </x:c>
    </x:row>
    <x:row r="7" ht="15" hidden="0">
      <x:c r="A7" s="10" t="s">
        <x:v>469</x:v>
      </x:c>
      <x:c r="B7" s="10" t="s">
        <x:v>470</x:v>
      </x:c>
      <x:c r="C7" s="10" t="s">
        <x:v>471</x:v>
      </x:c>
      <x:c r="D7" s="10" t="s">
        <x:v>454</x:v>
      </x:c>
      <x:c r="E7" s="10" t="s">
        <x:v>461</x:v>
      </x:c>
      <x:c r="F7" s="10" t="s">
        <x:v>455</x:v>
      </x:c>
      <x:c r="G7" s="10" t="s">
        <x:v>454</x:v>
      </x:c>
      <x:c r="H7" s="10" t="s">
        <x:v>472</x:v>
      </x:c>
      <x:c r="I7" s="16" t="n">
        <x:v>1</x:v>
      </x:c>
      <x:c r="J7" s="10" t="s">
        <x:v>67</x:v>
      </x:c>
    </x:row>
    <x:row r="8" ht="15" hidden="0">
      <x:c r="A8" s="10" t="s">
        <x:v>473</x:v>
      </x:c>
      <x:c r="B8" s="10" t="s">
        <x:v>470</x:v>
      </x:c>
      <x:c r="C8" s="10" t="s">
        <x:v>474</x:v>
      </x:c>
      <x:c r="D8" s="10" t="s">
        <x:v>454</x:v>
      </x:c>
      <x:c r="E8" s="10" t="s">
        <x:v>461</x:v>
      </x:c>
      <x:c r="F8" s="10" t="s">
        <x:v>455</x:v>
      </x:c>
      <x:c r="G8" s="10" t="s">
        <x:v>475</x:v>
      </x:c>
      <x:c r="H8" s="10" t="s">
        <x:v>476</x:v>
      </x:c>
      <x:c r="I8" s="16" t="n">
        <x:v>1</x:v>
      </x:c>
      <x:c r="J8" s="10" t="s">
        <x:v>67</x:v>
      </x:c>
    </x:row>
    <x:row r="9" ht="15" hidden="0">
      <x:c r="A9" s="10" t="s">
        <x:v>477</x:v>
      </x:c>
      <x:c r="B9" s="10" t="s">
        <x:v>478</x:v>
      </x:c>
      <x:c r="C9" s="10" t="s">
        <x:v>45</x:v>
      </x:c>
      <x:c r="D9" s="10" t="s">
        <x:v>461</x:v>
      </x:c>
      <x:c r="E9" s="10" t="s">
        <x:v>455</x:v>
      </x:c>
      <x:c r="F9" s="10" t="s">
        <x:v>455</x:v>
      </x:c>
      <x:c r="G9" s="10" t="s">
        <x:v>479</x:v>
      </x:c>
      <x:c r="H9" s="10" t="s">
        <x:v>480</x:v>
      </x:c>
      <x:c r="I9" s="16" t="n">
        <x:v>1</x:v>
      </x:c>
      <x:c r="J9" s="10" t="s">
        <x:v>67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24" hidden="0" customWidth="1"/>
    <x:col min="3" max="3" width="34" hidden="0" customWidth="1"/>
    <x:col min="4" max="4" width="40" hidden="0" customWidth="1"/>
    <x:col min="5" max="5" width="44" hidden="0" customWidth="1"/>
    <x:col min="6" max="6" width="8" hidden="0" customWidth="1"/>
    <x:col min="7" max="7" width="12" hidden="0" customWidth="1"/>
  </x:cols>
  <x:sheetData>
    <x:row r="1" ht="16.149999618530273" hidden="0">
      <x:c r="A1" s="1" t="s">
        <x:v>481</x:v>
      </x:c>
    </x:row>
    <x:row r="3" ht="15" hidden="0">
      <x:c r="A3" s="9" t="s">
        <x:v>482</x:v>
      </x:c>
      <x:c r="B3" s="9" t="s">
        <x:v>483</x:v>
      </x:c>
      <x:c r="C3" s="9" t="s">
        <x:v>484</x:v>
      </x:c>
      <x:c r="D3" s="9" t="s">
        <x:v>485</x:v>
      </x:c>
      <x:c r="E3" s="9" t="s">
        <x:v>486</x:v>
      </x:c>
      <x:c r="F3" s="9" t="s">
        <x:v>225</x:v>
      </x:c>
      <x:c r="G3" s="9" t="s">
        <x:v>36</x:v>
      </x:c>
    </x:row>
    <x:row r="4" ht="15" hidden="0">
      <x:c r="A4" s="10" t="s">
        <x:v>487</x:v>
      </x:c>
      <x:c r="B4" s="10" t="s">
        <x:v>488</x:v>
      </x:c>
      <x:c r="C4" s="10" t="s">
        <x:v>489</x:v>
      </x:c>
      <x:c r="D4" s="10" t="s">
        <x:v>490</x:v>
      </x:c>
      <x:c r="E4" s="10" t="s">
        <x:v>491</x:v>
      </x:c>
      <x:c r="F4" s="17" t="n">
        <x:v>2</x:v>
      </x:c>
      <x:c r="G4" s="10" t="s">
        <x:v>48</x:v>
      </x:c>
    </x:row>
    <x:row r="5" ht="15" hidden="0">
      <x:c r="A5" s="10" t="s">
        <x:v>492</x:v>
      </x:c>
      <x:c r="B5" s="10" t="s">
        <x:v>488</x:v>
      </x:c>
      <x:c r="C5" s="10" t="s">
        <x:v>493</x:v>
      </x:c>
      <x:c r="D5" s="10" t="s">
        <x:v>494</x:v>
      </x:c>
      <x:c r="E5" s="10" t="s">
        <x:v>495</x:v>
      </x:c>
      <x:c r="F5" s="17" t="n">
        <x:v>2</x:v>
      </x:c>
      <x:c r="G5" s="10" t="s">
        <x:v>48</x:v>
      </x:c>
    </x:row>
    <x:row r="6" ht="15" hidden="0">
      <x:c r="A6" s="10" t="s">
        <x:v>496</x:v>
      </x:c>
      <x:c r="B6" s="10" t="s">
        <x:v>488</x:v>
      </x:c>
      <x:c r="C6" s="10" t="s">
        <x:v>497</x:v>
      </x:c>
      <x:c r="D6" s="10" t="s">
        <x:v>498</x:v>
      </x:c>
      <x:c r="E6" s="10" t="s">
        <x:v>495</x:v>
      </x:c>
      <x:c r="F6" s="17" t="n">
        <x:v>2</x:v>
      </x:c>
      <x:c r="G6" s="10" t="s">
        <x:v>48</x:v>
      </x:c>
    </x:row>
    <x:row r="7" ht="15" hidden="0">
      <x:c r="A7" s="10" t="s">
        <x:v>499</x:v>
      </x:c>
      <x:c r="B7" s="10" t="s">
        <x:v>500</x:v>
      </x:c>
      <x:c r="C7" s="10" t="s">
        <x:v>501</x:v>
      </x:c>
      <x:c r="D7" s="10" t="s">
        <x:v>502</x:v>
      </x:c>
      <x:c r="E7" s="10" t="s">
        <x:v>503</x:v>
      </x:c>
      <x:c r="F7" s="17" t="n">
        <x:v>2</x:v>
      </x:c>
      <x:c r="G7" s="10" t="s">
        <x:v>58</x:v>
      </x:c>
    </x:row>
    <x:row r="8" ht="15" hidden="0">
      <x:c r="A8" s="10" t="s">
        <x:v>504</x:v>
      </x:c>
      <x:c r="B8" s="10" t="s">
        <x:v>500</x:v>
      </x:c>
      <x:c r="C8" s="10" t="s">
        <x:v>505</x:v>
      </x:c>
      <x:c r="D8" s="10" t="s">
        <x:v>506</x:v>
      </x:c>
      <x:c r="E8" s="10" t="s">
        <x:v>507</x:v>
      </x:c>
      <x:c r="F8" s="17" t="n">
        <x:v>2</x:v>
      </x:c>
      <x:c r="G8" s="10" t="s">
        <x:v>58</x:v>
      </x:c>
    </x:row>
    <x:row r="9" ht="15" hidden="0">
      <x:c r="A9" s="10" t="s">
        <x:v>508</x:v>
      </x:c>
      <x:c r="B9" s="10" t="s">
        <x:v>509</x:v>
      </x:c>
      <x:c r="C9" s="10" t="s">
        <x:v>510</x:v>
      </x:c>
      <x:c r="D9" s="10" t="s">
        <x:v>511</x:v>
      </x:c>
      <x:c r="E9" s="10" t="s">
        <x:v>512</x:v>
      </x:c>
      <x:c r="F9" s="17" t="n">
        <x:v>2</x:v>
      </x:c>
      <x:c r="G9" s="10" t="s">
        <x:v>76</x:v>
      </x:c>
    </x:row>
    <x:row r="10" ht="15" hidden="0">
      <x:c r="A10" s="10" t="s">
        <x:v>513</x:v>
      </x:c>
      <x:c r="B10" s="10" t="s">
        <x:v>509</x:v>
      </x:c>
      <x:c r="C10" s="10" t="s">
        <x:v>514</x:v>
      </x:c>
      <x:c r="D10" s="10" t="s">
        <x:v>515</x:v>
      </x:c>
      <x:c r="E10" s="10" t="s">
        <x:v>516</x:v>
      </x:c>
      <x:c r="F10" s="17" t="n">
        <x:v>2</x:v>
      </x:c>
      <x:c r="G10" s="10" t="s">
        <x:v>76</x:v>
      </x:c>
    </x:row>
    <x:row r="11" ht="15" hidden="0">
      <x:c r="A11" s="10" t="s">
        <x:v>517</x:v>
      </x:c>
      <x:c r="B11" s="10" t="s">
        <x:v>518</x:v>
      </x:c>
      <x:c r="C11" s="10" t="s">
        <x:v>519</x:v>
      </x:c>
      <x:c r="D11" s="10" t="s">
        <x:v>520</x:v>
      </x:c>
      <x:c r="E11" s="15" t="s">
        <x:v>521</x:v>
      </x:c>
      <x:c r="F11" s="16" t="n">
        <x:v>1</x:v>
      </x:c>
      <x:c r="G11" s="10" t="s">
        <x:v>76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12" hidden="0" customWidth="1"/>
    <x:col min="3" max="3" width="18" hidden="0" customWidth="1"/>
    <x:col min="4" max="4" width="20" hidden="0" customWidth="1"/>
    <x:col min="5" max="5" width="18" hidden="0" customWidth="1"/>
    <x:col min="6" max="6" width="30" hidden="0" customWidth="1"/>
    <x:col min="7" max="7" width="10" hidden="0" customWidth="1"/>
    <x:col min="8" max="8" width="44" hidden="0" customWidth="1"/>
  </x:cols>
  <x:sheetData>
    <x:row r="1" ht="16.149999618530273" hidden="0">
      <x:c r="A1" s="1" t="s">
        <x:v>522</x:v>
      </x:c>
    </x:row>
    <x:row r="3" ht="23.850000381469727" hidden="0">
      <x:c r="A3" s="9" t="s">
        <x:v>523</x:v>
      </x:c>
      <x:c r="B3" s="9" t="s">
        <x:v>524</x:v>
      </x:c>
      <x:c r="C3" s="9" t="s">
        <x:v>306</x:v>
      </x:c>
      <x:c r="D3" s="9" t="s">
        <x:v>525</x:v>
      </x:c>
      <x:c r="E3" s="9" t="s">
        <x:v>526</x:v>
      </x:c>
      <x:c r="F3" s="9" t="s">
        <x:v>527</x:v>
      </x:c>
      <x:c r="G3" s="9" t="s">
        <x:v>528</x:v>
      </x:c>
      <x:c r="H3" s="9" t="s">
        <x:v>41</x:v>
      </x:c>
    </x:row>
    <x:row r="4" ht="15" hidden="0">
      <x:c r="A4" s="10" t="s">
        <x:v>529</x:v>
      </x:c>
      <x:c r="B4" s="10" t="s">
        <x:v>530</x:v>
      </x:c>
      <x:c r="C4" s="10" t="s">
        <x:v>531</x:v>
      </x:c>
      <x:c r="D4" s="10" t="s">
        <x:v>4</x:v>
      </x:c>
      <x:c r="E4" s="10" t="s">
        <x:v>436</x:v>
      </x:c>
      <x:c r="F4" s="10" t="s">
        <x:v>532</x:v>
      </x:c>
      <x:c r="G4" s="10" t="s">
        <x:v>151</x:v>
      </x:c>
      <x:c r="H4" s="10" t="s">
        <x:v>533</x:v>
      </x:c>
    </x:row>
    <x:row r="5" ht="15" hidden="0">
      <x:c r="A5" s="10" t="s">
        <x:v>534</x:v>
      </x:c>
      <x:c r="B5" s="10" t="s">
        <x:v>530</x:v>
      </x:c>
      <x:c r="C5" s="10" t="s">
        <x:v>531</x:v>
      </x:c>
      <x:c r="D5" s="10" t="s">
        <x:v>8</x:v>
      </x:c>
      <x:c r="E5" s="10" t="s">
        <x:v>535</x:v>
      </x:c>
      <x:c r="F5" s="10" t="s">
        <x:v>536</x:v>
      </x:c>
      <x:c r="G5" s="10" t="s">
        <x:v>537</x:v>
      </x:c>
      <x:c r="H5" s="10" t="s">
        <x:v>538</x:v>
      </x:c>
    </x:row>
    <x:row r="6" ht="15" hidden="0">
      <x:c r="A6" s="15" t="s">
        <x:v>539</x:v>
      </x:c>
      <x:c r="B6" s="10"/>
      <x:c r="C6" s="10"/>
      <x:c r="D6" s="10"/>
      <x:c r="E6" s="10"/>
      <x:c r="F6" s="10"/>
      <x:c r="G6" s="10"/>
      <x:c r="H6" s="10" t="s">
        <x:v>540</x:v>
      </x:c>
    </x:row>
    <x:row r="7">
      <x:c r="A7" t="str">
        <x:v>VAL-0005</x:v>
      </x:c>
      <x:c r="B7" t="str">
        <x:v>Somun_Geometri</x:v>
      </x:c>
      <x:c r="C7" t="str">
        <x:v>NG-0018…NG-0021</x:v>
      </x:c>
      <x:c r="D7" t="str">
        <x:v>ISO 7040 yükseklik çapraz kontrolü</x:v>
      </x:c>
      <x:c r="E7" t="str">
        <x:v>Web teknik referans</x:v>
      </x:c>
      <x:c r="F7" t="str">
        <x:v>Kısmi</x:v>
      </x:c>
      <x:c r="G7" t="str">
        <x:v>2026-07-12</x:v>
      </x:c>
      <x:c r="H7" t="str">
        <x:v>Güven 2; lisanslı standartla son doğrulama gerekli</x:v>
      </x:c>
    </x:row>
    <x:row r="8">
      <x:c r="A8" t="str">
        <x:v>VAL-0006</x:v>
      </x:c>
      <x:c r="B8" t="str">
        <x:v>Urun_Aileleri</x:v>
      </x:c>
      <x:c r="C8" t="str">
        <x:v>FAM-*</x:v>
      </x:c>
      <x:c r="D8" t="str">
        <x:v>İlişkisel ürün ailesi tablosu oluşturuldu</x:v>
      </x:c>
      <x:c r="E8" t="str">
        <x:v>İç mimari</x:v>
      </x:c>
      <x:c r="F8" t="str">
        <x:v>Tamamlandı</x:v>
      </x:c>
      <x:c r="G8" t="str">
        <x:v>2026-07-12</x:v>
      </x:c>
      <x:c r="H8" t="str">
        <x:v>15 başlangıç ailesi</x:v>
      </x:c>
    </x:row>
    <x:row r="9">
      <x:c r="A9" t="str">
        <x:v>VAL-0007</x:v>
      </x:c>
      <x:c r="B9" t="str">
        <x:v>Boy_Serileri</x:v>
      </x:c>
      <x:c r="C9" t="str">
        <x:v>LEN-*</x:v>
      </x:c>
      <x:c r="D9" t="str">
        <x:v>Boy serisi ilişkisel şeması oluşturuldu</x:v>
      </x:c>
      <x:c r="E9" t="str">
        <x:v>İç mimari</x:v>
      </x:c>
      <x:c r="F9" t="str">
        <x:v>Tamamlandı</x:v>
      </x:c>
      <x:c r="G9" t="str">
        <x:v>2026-07-12</x:v>
      </x:c>
      <x:c r="H9" t="str">
        <x:v>Değerler taslak; standart verisi bekliyor</x:v>
      </x:c>
    </x:row>
    <x:row r="10">
      <x:c r="A10" t="str">
        <x:v>VAL-0008</x:v>
      </x:c>
      <x:c r="B10" t="str">
        <x:v>Somun_Proof_Load</x:v>
      </x:c>
      <x:c r="C10" t="str">
        <x:v>PL-*</x:v>
      </x:c>
      <x:c r="D10" t="str">
        <x:v>ISO 898-2 için çap/hatve/stil bazlı şema</x:v>
      </x:c>
      <x:c r="E10" t="str">
        <x:v>ISO katalog kaydı</x:v>
      </x:c>
      <x:c r="F10" t="str">
        <x:v>Tamamlandı</x:v>
      </x:c>
      <x:c r="G10" t="str">
        <x:v>2026-07-12</x:v>
      </x:c>
      <x:c r="H10" t="str">
        <x:v>Proof stress değerleri bilerek boş bırakıldı</x:v>
      </x:c>
    </x:row>
    <x:row r="11">
      <x:c r="A11" t="str">
        <x:v>VAL-0009</x:v>
      </x:c>
      <x:c r="B11" t="str">
        <x:v>Kaplama_Surtunme</x:v>
      </x:c>
      <x:c r="C11" t="str">
        <x:v>COAT-*</x:v>
      </x:c>
      <x:c r="D11" t="str">
        <x:v>μ ayrıştırma uygunluk kontrolü</x:v>
      </x:c>
      <x:c r="E11" t="str">
        <x:v>ISO 16047 katalog kaydı</x:v>
      </x:c>
      <x:c r="F11" t="str">
        <x:v>Tamamlandı</x:v>
      </x:c>
      <x:c r="G11" t="str">
        <x:v>2026-07-12</x:v>
      </x:c>
      <x:c r="H11" t="str">
        <x:v>μtotal'dan μthread/μbearing türetilmedi</x:v>
      </x:c>
    </x:row>
    <x:row r="12">
      <x:c r="A12" t="str">
        <x:v>VAL-0010</x:v>
      </x:c>
      <x:c r="B12" t="str">
        <x:v>Tüm dosya</x:v>
      </x:c>
      <x:c r="C12" t="str">
        <x:v>v3.1</x:v>
      </x:c>
      <x:c r="D12" t="str">
        <x:v>Formül hata ve ilişki kontrolü</x:v>
      </x:c>
      <x:c r="E12" t="str">
        <x:v>artifact_tool</x:v>
      </x:c>
      <x:c r="F12" t="str">
        <x:v>Tamamlandı</x:v>
      </x:c>
      <x:c r="G12" t="str">
        <x:v>2026-07-12</x:v>
      </x:c>
      <x:c r="H12" t="str">
        <x:v>Dışa aktarma öncesi tarandı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1" hidden="0" customWidth="1"/>
    <x:col min="4" max="4" width="16" hidden="0" customWidth="1"/>
    <x:col min="5" max="5" width="20" hidden="0" customWidth="1"/>
    <x:col min="6" max="6" width="18" hidden="0" customWidth="1"/>
    <x:col min="7" max="7" width="19" hidden="0" customWidth="1"/>
    <x:col min="8" max="8" width="17" hidden="0" customWidth="1"/>
    <x:col min="9" max="9" width="12" hidden="0" customWidth="1"/>
    <x:col min="10" max="10" width="10" hidden="0" customWidth="1"/>
    <x:col min="11" max="11" width="10" hidden="0" customWidth="1"/>
    <x:col min="12" max="12" width="40" hidden="0" customWidth="1"/>
  </x:cols>
  <x:sheetData>
    <x:row r="1">
      <x:c r="A1" s="43" t="str">
        <x:v>ÜRÜN AİLELERİ — İLİŞKİSEL ANA KATALOG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3">
      <x:c r="A3" s="52" t="str">
        <x:v>Urun_Aile_ID</x:v>
      </x:c>
      <x:c r="B3" s="52" t="str">
        <x:v>Ana Grup</x:v>
      </x:c>
      <x:c r="C3" s="52" t="str">
        <x:v>Aile Adı</x:v>
      </x:c>
      <x:c r="D3" s="52" t="str">
        <x:v>Ana Standart</x:v>
      </x:c>
      <x:c r="E3" s="52" t="str">
        <x:v>Eski/Eşdeğer</x:v>
      </x:c>
      <x:c r="F3" s="52" t="str">
        <x:v>Baş Tipi</x:v>
      </x:c>
      <x:c r="G3" s="52" t="str">
        <x:v>Tahrik Tipi</x:v>
      </x:c>
      <x:c r="H3" s="52" t="str">
        <x:v>Diş Durumu</x:v>
      </x:c>
      <x:c r="I3" s="52" t="str">
        <x:v>Ürün Sınıfı</x:v>
      </x:c>
      <x:c r="J3" s="52" t="str">
        <x:v>Aktif</x:v>
      </x:c>
      <x:c r="K3" s="52" t="str">
        <x:v>Güven</x:v>
      </x:c>
      <x:c r="L3" s="52" t="str">
        <x:v>Not</x:v>
      </x:c>
    </x:row>
    <x:row r="4">
      <x:c r="A4" s="38" t="str">
        <x:v>FAM-BLT-001</x:v>
      </x:c>
      <x:c r="B4" s="38" t="str">
        <x:v>Civata</x:v>
      </x:c>
      <x:c r="C4" s="38" t="str">
        <x:v>Altıgen başlı tam dişli civata</x:v>
      </x:c>
      <x:c r="D4" s="38" t="str">
        <x:v>ISO 4017</x:v>
      </x:c>
      <x:c r="E4" s="38" t="str">
        <x:v>DIN 933</x:v>
      </x:c>
      <x:c r="F4" s="38" t="str">
        <x:v>Altıgen</x:v>
      </x:c>
      <x:c r="G4" s="38" t="str">
        <x:v>Dıştan altıgen</x:v>
      </x:c>
      <x:c r="H4" s="38" t="str">
        <x:v>Tam diş</x:v>
      </x:c>
      <x:c r="I4" s="38" t="str">
        <x:v>A</x:v>
      </x:c>
      <x:c r="J4" s="38" t="str">
        <x:v>Evet</x:v>
      </x:c>
      <x:c r="K4" s="38" t="n">
        <x:v>3</x:v>
      </x:c>
      <x:c r="L4" s="38" t="str">
        <x:v>Civata_Geometri ile Standart_No üzerinden bağlanır</x:v>
      </x:c>
    </x:row>
    <x:row r="5">
      <x:c r="A5" s="38" t="str">
        <x:v>FAM-BLT-002</x:v>
      </x:c>
      <x:c r="B5" s="38" t="str">
        <x:v>Civata</x:v>
      </x:c>
      <x:c r="C5" s="38" t="str">
        <x:v>Altıgen başlı kısmi dişli civata</x:v>
      </x:c>
      <x:c r="D5" s="38" t="str">
        <x:v>ISO 4014</x:v>
      </x:c>
      <x:c r="E5" s="38" t="str">
        <x:v>DIN 931</x:v>
      </x:c>
      <x:c r="F5" s="38" t="str">
        <x:v>Altıgen</x:v>
      </x:c>
      <x:c r="G5" s="38" t="str">
        <x:v>Dıştan altıgen</x:v>
      </x:c>
      <x:c r="H5" s="38" t="str">
        <x:v>Kısmi diş</x:v>
      </x:c>
      <x:c r="I5" s="38" t="str">
        <x:v>A</x:v>
      </x:c>
      <x:c r="J5" s="38" t="str">
        <x:v>Evet</x:v>
      </x:c>
      <x:c r="K5" s="38" t="n">
        <x:v>3</x:v>
      </x:c>
      <x:c r="L5" s="38" t="str">
        <x:v>Boy_Serileri tablosu gerektirir</x:v>
      </x:c>
    </x:row>
    <x:row r="6">
      <x:c r="A6" s="38" t="str">
        <x:v>FAM-BLT-003</x:v>
      </x:c>
      <x:c r="B6" s="38" t="str">
        <x:v>Civata</x:v>
      </x:c>
      <x:c r="C6" s="38" t="str">
        <x:v>Silindirik başlı içten altıgen civata</x:v>
      </x:c>
      <x:c r="D6" s="38" t="str">
        <x:v>ISO 4762</x:v>
      </x:c>
      <x:c r="E6" s="38" t="str">
        <x:v>DIN 912</x:v>
      </x:c>
      <x:c r="F6" s="38" t="str">
        <x:v>Silindirik</x:v>
      </x:c>
      <x:c r="G6" s="38" t="str">
        <x:v>İçten altıgen</x:v>
      </x:c>
      <x:c r="H6" s="38" t="str">
        <x:v>Standarda göre</x:v>
      </x:c>
      <x:c r="I6" s="38" t="str">
        <x:v>A</x:v>
      </x:c>
      <x:c r="J6" s="38" t="str">
        <x:v>Evet</x:v>
      </x:c>
      <x:c r="K6" s="38" t="n">
        <x:v>3</x:v>
      </x:c>
      <x:c r="L6" s="38"/>
    </x:row>
    <x:row r="7">
      <x:c r="A7" s="38" t="str">
        <x:v>FAM-BLT-004</x:v>
      </x:c>
      <x:c r="B7" s="38" t="str">
        <x:v>Civata</x:v>
      </x:c>
      <x:c r="C7" s="38" t="str">
        <x:v>Havşa başlı içten altıgen civata</x:v>
      </x:c>
      <x:c r="D7" s="38" t="str">
        <x:v>ISO 10642</x:v>
      </x:c>
      <x:c r="E7" s="38" t="str">
        <x:v>DIN 7991</x:v>
      </x:c>
      <x:c r="F7" s="38" t="str">
        <x:v>Havşa</x:v>
      </x:c>
      <x:c r="G7" s="38" t="str">
        <x:v>İçten altıgen</x:v>
      </x:c>
      <x:c r="H7" s="38" t="str">
        <x:v>Standarda göre</x:v>
      </x:c>
      <x:c r="I7" s="38" t="str">
        <x:v>A</x:v>
      </x:c>
      <x:c r="J7" s="38" t="str">
        <x:v>Evet</x:v>
      </x:c>
      <x:c r="K7" s="38" t="n">
        <x:v>3</x:v>
      </x:c>
      <x:c r="L7" s="38"/>
    </x:row>
    <x:row r="8">
      <x:c r="A8" s="38" t="str">
        <x:v>FAM-BLT-005</x:v>
      </x:c>
      <x:c r="B8" s="38" t="str">
        <x:v>Civata</x:v>
      </x:c>
      <x:c r="C8" s="38" t="str">
        <x:v>Flanşlı altıgen civata</x:v>
      </x:c>
      <x:c r="D8" s="38" t="str">
        <x:v>ISO 4162</x:v>
      </x:c>
      <x:c r="E8" s="38" t="str">
        <x:v>DIN 6921 ailesi</x:v>
      </x:c>
      <x:c r="F8" s="38" t="str">
        <x:v>Flanşlı altıgen</x:v>
      </x:c>
      <x:c r="G8" s="38" t="str">
        <x:v>Dıştan altıgen</x:v>
      </x:c>
      <x:c r="H8" s="38" t="str">
        <x:v>Standarda göre</x:v>
      </x:c>
      <x:c r="I8" s="38" t="str">
        <x:v>A</x:v>
      </x:c>
      <x:c r="J8" s="38" t="str">
        <x:v>Evet</x:v>
      </x:c>
      <x:c r="K8" s="38" t="n">
        <x:v>2</x:v>
      </x:c>
      <x:c r="L8" s="38" t="str">
        <x:v>Standart eşdeğerliği tam olmayabilir</x:v>
      </x:c>
    </x:row>
    <x:row r="9">
      <x:c r="A9" s="38" t="str">
        <x:v>FAM-NUT-001</x:v>
      </x:c>
      <x:c r="B9" s="38" t="str">
        <x:v>Somun</x:v>
      </x:c>
      <x:c r="C9" s="38" t="str">
        <x:v>Altıgen somun Stil 1</x:v>
      </x:c>
      <x:c r="D9" s="38" t="str">
        <x:v>ISO 4032</x:v>
      </x:c>
      <x:c r="E9" s="38" t="str">
        <x:v>DIN 934</x:v>
      </x:c>
      <x:c r="F9" s="38" t="str">
        <x:v>Altıgen</x:v>
      </x:c>
      <x:c r="G9" s="38" t="str">
        <x:v>Anahtar</x:v>
      </x:c>
      <x:c r="H9" s="38" t="str">
        <x:v>İç diş</x:v>
      </x:c>
      <x:c r="I9" s="38" t="str">
        <x:v>A</x:v>
      </x:c>
      <x:c r="J9" s="38" t="str">
        <x:v>Evet</x:v>
      </x:c>
      <x:c r="K9" s="38" t="n">
        <x:v>3</x:v>
      </x:c>
      <x:c r="L9" s="38"/>
    </x:row>
    <x:row r="10">
      <x:c r="A10" s="38" t="str">
        <x:v>FAM-NUT-002</x:v>
      </x:c>
      <x:c r="B10" s="38" t="str">
        <x:v>Somun</x:v>
      </x:c>
      <x:c r="C10" s="38" t="str">
        <x:v>İnce altıgen somun</x:v>
      </x:c>
      <x:c r="D10" s="38" t="str">
        <x:v>ISO 4035</x:v>
      </x:c>
      <x:c r="E10" s="38" t="str">
        <x:v>DIN 439 ailesi</x:v>
      </x:c>
      <x:c r="F10" s="38" t="str">
        <x:v>Altıgen</x:v>
      </x:c>
      <x:c r="G10" s="38" t="str">
        <x:v>Anahtar</x:v>
      </x:c>
      <x:c r="H10" s="38" t="str">
        <x:v>İç diş</x:v>
      </x:c>
      <x:c r="I10" s="38" t="str">
        <x:v>A</x:v>
      </x:c>
      <x:c r="J10" s="38" t="str">
        <x:v>Evet</x:v>
      </x:c>
      <x:c r="K10" s="38" t="n">
        <x:v>3</x:v>
      </x:c>
      <x:c r="L10" s="38"/>
    </x:row>
    <x:row r="11">
      <x:c r="A11" s="38" t="str">
        <x:v>FAM-NUT-003</x:v>
      </x:c>
      <x:c r="B11" s="38" t="str">
        <x:v>Somun</x:v>
      </x:c>
      <x:c r="C11" s="38" t="str">
        <x:v>Naylon halkalı kilitli somun</x:v>
      </x:c>
      <x:c r="D11" s="38" t="str">
        <x:v>ISO 7040</x:v>
      </x:c>
      <x:c r="E11" s="38" t="str">
        <x:v>DIN 985</x:v>
      </x:c>
      <x:c r="F11" s="38" t="str">
        <x:v>Altıgen</x:v>
      </x:c>
      <x:c r="G11" s="38" t="str">
        <x:v>Anahtar</x:v>
      </x:c>
      <x:c r="H11" s="38" t="str">
        <x:v>İç diş + insert</x:v>
      </x:c>
      <x:c r="I11" s="38" t="str">
        <x:v>A</x:v>
      </x:c>
      <x:c r="J11" s="38" t="str">
        <x:v>Evet</x:v>
      </x:c>
      <x:c r="K11" s="38" t="n">
        <x:v>2</x:v>
      </x:c>
      <x:c r="L11" s="38" t="str">
        <x:v>Yükseklikler kamuya açık tablolarla çapraz kontrol edildi</x:v>
      </x:c>
    </x:row>
    <x:row r="12">
      <x:c r="A12" s="38" t="str">
        <x:v>FAM-WSH-001</x:v>
      </x:c>
      <x:c r="B12" s="38" t="str">
        <x:v>Pul</x:v>
      </x:c>
      <x:c r="C12" s="38" t="str">
        <x:v>Normal seri düz pul</x:v>
      </x:c>
      <x:c r="D12" s="38" t="str">
        <x:v>ISO 7089</x:v>
      </x:c>
      <x:c r="E12" s="38" t="str">
        <x:v>DIN 125-A</x:v>
      </x:c>
      <x:c r="F12" s="38" t="str">
        <x:v>Düz</x:v>
      </x:c>
      <x:c r="G12" s="38" t="str">
        <x:v>Yok</x:v>
      </x:c>
      <x:c r="H12" s="38" t="str">
        <x:v>Uygulanmaz</x:v>
      </x:c>
      <x:c r="I12" s="38" t="str">
        <x:v>A</x:v>
      </x:c>
      <x:c r="J12" s="38" t="str">
        <x:v>Evet</x:v>
      </x:c>
      <x:c r="K12" s="38" t="n">
        <x:v>3</x:v>
      </x:c>
      <x:c r="L12" s="38"/>
    </x:row>
    <x:row r="13">
      <x:c r="A13" s="38" t="str">
        <x:v>FAM-WSH-002</x:v>
      </x:c>
      <x:c r="B13" s="38" t="str">
        <x:v>Pul</x:v>
      </x:c>
      <x:c r="C13" s="38" t="str">
        <x:v>Pahlı düz pul</x:v>
      </x:c>
      <x:c r="D13" s="38" t="str">
        <x:v>ISO 7090</x:v>
      </x:c>
      <x:c r="E13" s="38" t="str">
        <x:v>DIN 125-B</x:v>
      </x:c>
      <x:c r="F13" s="38" t="str">
        <x:v>Pahlı</x:v>
      </x:c>
      <x:c r="G13" s="38" t="str">
        <x:v>Yok</x:v>
      </x:c>
      <x:c r="H13" s="38" t="str">
        <x:v>Uygulanmaz</x:v>
      </x:c>
      <x:c r="I13" s="38" t="str">
        <x:v>A</x:v>
      </x:c>
      <x:c r="J13" s="38" t="str">
        <x:v>Evet</x:v>
      </x:c>
      <x:c r="K13" s="38" t="n">
        <x:v>3</x:v>
      </x:c>
      <x:c r="L13" s="38"/>
    </x:row>
    <x:row r="14">
      <x:c r="A14" s="38" t="str">
        <x:v>FAM-WSH-003</x:v>
      </x:c>
      <x:c r="B14" s="38" t="str">
        <x:v>Pul</x:v>
      </x:c>
      <x:c r="C14" s="38" t="str">
        <x:v>Geniş seri düz pul</x:v>
      </x:c>
      <x:c r="D14" s="38" t="str">
        <x:v>ISO 7093-1</x:v>
      </x:c>
      <x:c r="E14" s="38" t="str">
        <x:v>DIN 9021</x:v>
      </x:c>
      <x:c r="F14" s="38" t="str">
        <x:v>Geniş</x:v>
      </x:c>
      <x:c r="G14" s="38" t="str">
        <x:v>Yok</x:v>
      </x:c>
      <x:c r="H14" s="38" t="str">
        <x:v>Uygulanmaz</x:v>
      </x:c>
      <x:c r="I14" s="38" t="str">
        <x:v>A</x:v>
      </x:c>
      <x:c r="J14" s="38" t="str">
        <x:v>Evet</x:v>
      </x:c>
      <x:c r="K14" s="38" t="n">
        <x:v>3</x:v>
      </x:c>
      <x:c r="L14" s="38"/>
    </x:row>
    <x:row r="15">
      <x:c r="A15" s="38" t="str">
        <x:v>FAM-SCR-001</x:v>
      </x:c>
      <x:c r="B15" s="38" t="str">
        <x:v>Vida</x:v>
      </x:c>
      <x:c r="C15" s="38" t="str">
        <x:v>Bombeli başlı makine vidası</x:v>
      </x:c>
      <x:c r="D15" s="38" t="str">
        <x:v>ISO 7045</x:v>
      </x:c>
      <x:c r="E15" s="38" t="str">
        <x:v>DIN 7985</x:v>
      </x:c>
      <x:c r="F15" s="38" t="str">
        <x:v>Bombeli</x:v>
      </x:c>
      <x:c r="G15" s="38" t="str">
        <x:v>Phillips/Pozidriv</x:v>
      </x:c>
      <x:c r="H15" s="38" t="str">
        <x:v>Tam diş</x:v>
      </x:c>
      <x:c r="I15" s="38" t="str">
        <x:v>A</x:v>
      </x:c>
      <x:c r="J15" s="38" t="str">
        <x:v>Evet</x:v>
      </x:c>
      <x:c r="K15" s="38" t="n">
        <x:v>2</x:v>
      </x:c>
      <x:c r="L15" s="38"/>
    </x:row>
    <x:row r="16">
      <x:c r="A16" s="38" t="str">
        <x:v>FAM-SCR-002</x:v>
      </x:c>
      <x:c r="B16" s="38" t="str">
        <x:v>Vida</x:v>
      </x:c>
      <x:c r="C16" s="38" t="str">
        <x:v>Havşa başlı makine vidası</x:v>
      </x:c>
      <x:c r="D16" s="38" t="str">
        <x:v>ISO 7046</x:v>
      </x:c>
      <x:c r="E16" s="38" t="str">
        <x:v>DIN 965</x:v>
      </x:c>
      <x:c r="F16" s="38" t="str">
        <x:v>Havşa</x:v>
      </x:c>
      <x:c r="G16" s="38" t="str">
        <x:v>Phillips/Pozidriv</x:v>
      </x:c>
      <x:c r="H16" s="38" t="str">
        <x:v>Tam diş</x:v>
      </x:c>
      <x:c r="I16" s="38" t="str">
        <x:v>A</x:v>
      </x:c>
      <x:c r="J16" s="38" t="str">
        <x:v>Evet</x:v>
      </x:c>
      <x:c r="K16" s="38" t="n">
        <x:v>2</x:v>
      </x:c>
      <x:c r="L16" s="38"/>
    </x:row>
    <x:row r="17">
      <x:c r="A17" s="38" t="str">
        <x:v>FAM-SCR-003</x:v>
      </x:c>
      <x:c r="B17" s="38" t="str">
        <x:v>Vida</x:v>
      </x:c>
      <x:c r="C17" s="38" t="str">
        <x:v>Düz uçlu ayar vidası</x:v>
      </x:c>
      <x:c r="D17" s="38" t="str">
        <x:v>ISO 4026</x:v>
      </x:c>
      <x:c r="E17" s="38" t="str">
        <x:v>DIN 913</x:v>
      </x:c>
      <x:c r="F17" s="38" t="str">
        <x:v>Başsız</x:v>
      </x:c>
      <x:c r="G17" s="38" t="str">
        <x:v>İçten altıgen</x:v>
      </x:c>
      <x:c r="H17" s="38" t="str">
        <x:v>Tam diş</x:v>
      </x:c>
      <x:c r="I17" s="38" t="str">
        <x:v>A</x:v>
      </x:c>
      <x:c r="J17" s="38" t="str">
        <x:v>Evet</x:v>
      </x:c>
      <x:c r="K17" s="38" t="n">
        <x:v>2</x:v>
      </x:c>
      <x:c r="L17" s="38"/>
    </x:row>
    <x:row r="18">
      <x:c r="A18" s="38" t="str">
        <x:v>FAM-STD-001</x:v>
      </x:c>
      <x:c r="B18" s="38" t="str">
        <x:v>Saplama</x:v>
      </x:c>
      <x:c r="C18" s="38" t="str">
        <x:v>Tam dişli çubuk</x:v>
      </x:c>
      <x:c r="D18" s="38" t="str">
        <x:v>DIN 976-1</x:v>
      </x:c>
      <x:c r="E18" s="38" t="str">
        <x:v>—</x:v>
      </x:c>
      <x:c r="F18" s="38" t="str">
        <x:v>Başsız</x:v>
      </x:c>
      <x:c r="G18" s="38" t="str">
        <x:v>Yok</x:v>
      </x:c>
      <x:c r="H18" s="38" t="str">
        <x:v>Tam diş</x:v>
      </x:c>
      <x:c r="I18" s="38" t="str">
        <x:v>B</x:v>
      </x:c>
      <x:c r="J18" s="38" t="str">
        <x:v>Evet</x:v>
      </x:c>
      <x:c r="K18" s="38" t="n">
        <x:v>2</x:v>
      </x:c>
      <x:c r="L18" s="38"/>
    </x:row>
  </x:sheetData>
  <x:mergeCells>
    <x:mergeCell ref="A1:L1"/>
  </x:mergeCells>
  <x:dataValidations count="2">
    <x:dataValidation type="list" sqref="J4:J500">
      <x:formula1>"Evet,Hayır"</x:formula1>
    </x:dataValidation>
    <x:dataValidation type="list" sqref="K4:K500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c2471d30fb4e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2" hidden="0" customWidth="1"/>
    <x:col min="5" max="5" width="16" hidden="0" customWidth="1"/>
    <x:col min="6" max="6" width="15" hidden="0" customWidth="1"/>
    <x:col min="7" max="7" width="15" hidden="0" customWidth="1"/>
    <x:col min="8" max="8" width="18" hidden="0" customWidth="1"/>
    <x:col min="9" max="9" width="11" hidden="0" customWidth="1"/>
    <x:col min="10" max="10" width="11" hidden="0" customWidth="1"/>
    <x:col min="11" max="11" width="10" hidden="0" customWidth="1"/>
    <x:col min="12" max="12" width="13" hidden="0" customWidth="1"/>
    <x:col min="13" max="13" width="19" hidden="0" customWidth="1"/>
    <x:col min="14" max="14" width="42" hidden="0" customWidth="1"/>
  </x:cols>
  <x:sheetData>
    <x:row r="1">
      <x:c r="A1" s="43" t="str">
        <x:v>BOY SERİLERİ — ÇAP/BOY/DİŞ BOYU İLİŞKİSİ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3">
      <x:c r="A3" s="52" t="str">
        <x:v>Boy_ID</x:v>
      </x:c>
      <x:c r="B3" s="52" t="str">
        <x:v>Urun_Aile_ID</x:v>
      </x:c>
      <x:c r="C3" s="52" t="str">
        <x:v>Standart_No</x:v>
      </x:c>
      <x:c r="D3" s="52" t="str">
        <x:v>Dis_Kodu</x:v>
      </x:c>
      <x:c r="E3" s="52" t="str">
        <x:v>Nominal Boy l (mm)</x:v>
      </x:c>
      <x:c r="F3" s="52" t="str">
        <x:v>Diş Boyu b (mm)</x:v>
      </x:c>
      <x:c r="G3" s="52" t="str">
        <x:v>Tam/Kısmi Diş</x:v>
      </x:c>
      <x:c r="H3" s="52" t="str">
        <x:v>Boy Serisi Durumu</x:v>
      </x:c>
      <x:c r="I3" s="52" t="str">
        <x:v>Min Boy</x:v>
      </x:c>
      <x:c r="J3" s="52" t="str">
        <x:v>Max Boy</x:v>
      </x:c>
      <x:c r="K3" s="52" t="str">
        <x:v>Güven</x:v>
      </x:c>
      <x:c r="L3" s="52" t="str">
        <x:v>Kaynak_ID</x:v>
      </x:c>
      <x:c r="M3" s="52" t="str">
        <x:v>Doğrulama Durumu</x:v>
      </x:c>
      <x:c r="N3" s="52" t="str">
        <x:v>Not</x:v>
      </x:c>
    </x:row>
    <x:row r="4">
      <x:c r="A4" s="38" t="str">
        <x:v>LEN-0001</x:v>
      </x:c>
      <x:c r="B4" s="38" t="str">
        <x:v>FAM-BLT-001</x:v>
      </x:c>
      <x:c r="C4" s="38" t="str">
        <x:v>ISO 4017</x:v>
      </x:c>
      <x:c r="D4" s="38" t="str">
        <x:v>M6</x:v>
      </x:c>
      <x:c r="E4" s="38" t="n">
        <x:v>20</x:v>
      </x:c>
      <x:c r="F4" s="38"/>
      <x:c r="G4" s="38" t="str">
        <x:v>Tam diş</x:v>
      </x:c>
      <x:c r="H4" s="38" t="str">
        <x:v>Örnek başlangıç</x:v>
      </x:c>
      <x:c r="I4" s="38"/>
      <x:c r="J4" s="38"/>
      <x:c r="K4" s="38" t="n">
        <x:v>1</x:v>
      </x:c>
      <x:c r="L4" s="38" t="str">
        <x:v>SRC-003</x:v>
      </x:c>
      <x:c r="M4" s="38" t="str">
        <x:v>Taslak</x:v>
      </x:c>
      <x:c r="N4" s="38" t="str">
        <x:v>Gerçek boy serisi lisanslı standarttan toplu girilecek</x:v>
      </x:c>
    </x:row>
    <x:row r="5">
      <x:c r="A5" s="38" t="str">
        <x:v>LEN-0002</x:v>
      </x:c>
      <x:c r="B5" s="38" t="str">
        <x:v>FAM-BLT-001</x:v>
      </x:c>
      <x:c r="C5" s="38" t="str">
        <x:v>ISO 4017</x:v>
      </x:c>
      <x:c r="D5" s="38" t="str">
        <x:v>M8</x:v>
      </x:c>
      <x:c r="E5" s="38" t="n">
        <x:v>30</x:v>
      </x:c>
      <x:c r="F5" s="38"/>
      <x:c r="G5" s="38" t="str">
        <x:v>Tam diş</x:v>
      </x:c>
      <x:c r="H5" s="38" t="str">
        <x:v>Örnek başlangıç</x:v>
      </x:c>
      <x:c r="I5" s="38"/>
      <x:c r="J5" s="38"/>
      <x:c r="K5" s="38" t="n">
        <x:v>1</x:v>
      </x:c>
      <x:c r="L5" s="38" t="str">
        <x:v>SRC-003</x:v>
      </x:c>
      <x:c r="M5" s="38" t="str">
        <x:v>Taslak</x:v>
      </x:c>
      <x:c r="N5" s="38" t="str">
        <x:v>Gerçek boy serisi lisanslı standarttan toplu girilecek</x:v>
      </x:c>
    </x:row>
    <x:row r="6">
      <x:c r="A6" s="38" t="str">
        <x:v>LEN-0003</x:v>
      </x:c>
      <x:c r="B6" s="38" t="str">
        <x:v>FAM-BLT-001</x:v>
      </x:c>
      <x:c r="C6" s="38" t="str">
        <x:v>ISO 4017</x:v>
      </x:c>
      <x:c r="D6" s="38" t="str">
        <x:v>M10</x:v>
      </x:c>
      <x:c r="E6" s="38" t="n">
        <x:v>40</x:v>
      </x:c>
      <x:c r="F6" s="38"/>
      <x:c r="G6" s="38" t="str">
        <x:v>Tam diş</x:v>
      </x:c>
      <x:c r="H6" s="38" t="str">
        <x:v>Örnek başlangıç</x:v>
      </x:c>
      <x:c r="I6" s="38"/>
      <x:c r="J6" s="38"/>
      <x:c r="K6" s="38" t="n">
        <x:v>1</x:v>
      </x:c>
      <x:c r="L6" s="38" t="str">
        <x:v>SRC-003</x:v>
      </x:c>
      <x:c r="M6" s="38" t="str">
        <x:v>Taslak</x:v>
      </x:c>
      <x:c r="N6" s="38" t="str">
        <x:v>Gerçek boy serisi lisanslı standarttan toplu girilecek</x:v>
      </x:c>
    </x:row>
    <x:row r="7">
      <x:c r="A7" s="38" t="str">
        <x:v>LEN-0004</x:v>
      </x:c>
      <x:c r="B7" s="38" t="str">
        <x:v>FAM-BLT-002</x:v>
      </x:c>
      <x:c r="C7" s="38" t="str">
        <x:v>ISO 4014</x:v>
      </x:c>
      <x:c r="D7" s="38" t="str">
        <x:v>M10</x:v>
      </x:c>
      <x:c r="E7" s="38" t="n">
        <x:v>60</x:v>
      </x:c>
      <x:c r="F7" s="38"/>
      <x:c r="G7" s="38" t="str">
        <x:v>Kısmi diş</x:v>
      </x:c>
      <x:c r="H7" s="38" t="str">
        <x:v>Örnek başlangıç</x:v>
      </x:c>
      <x:c r="I7" s="38"/>
      <x:c r="J7" s="38"/>
      <x:c r="K7" s="38" t="n">
        <x:v>1</x:v>
      </x:c>
      <x:c r="L7" s="38" t="str">
        <x:v>SRC-003</x:v>
      </x:c>
      <x:c r="M7" s="38" t="str">
        <x:v>Taslak</x:v>
      </x:c>
      <x:c r="N7" s="38" t="str">
        <x:v>b değeri boy aralığına göre standarda bağlıdır</x:v>
      </x:c>
    </x:row>
    <x:row r="8">
      <x:c r="A8" s="38" t="str">
        <x:v>LEN-0005</x:v>
      </x:c>
      <x:c r="B8" s="38" t="str">
        <x:v>FAM-BLT-002</x:v>
      </x:c>
      <x:c r="C8" s="38" t="str">
        <x:v>ISO 4014</x:v>
      </x:c>
      <x:c r="D8" s="38" t="str">
        <x:v>M12</x:v>
      </x:c>
      <x:c r="E8" s="38" t="n">
        <x:v>80</x:v>
      </x:c>
      <x:c r="F8" s="38"/>
      <x:c r="G8" s="38" t="str">
        <x:v>Kısmi diş</x:v>
      </x:c>
      <x:c r="H8" s="38" t="str">
        <x:v>Örnek başlangıç</x:v>
      </x:c>
      <x:c r="I8" s="38"/>
      <x:c r="J8" s="38"/>
      <x:c r="K8" s="38" t="n">
        <x:v>1</x:v>
      </x:c>
      <x:c r="L8" s="38" t="str">
        <x:v>SRC-003</x:v>
      </x:c>
      <x:c r="M8" s="38" t="str">
        <x:v>Taslak</x:v>
      </x:c>
      <x:c r="N8" s="38" t="str">
        <x:v>b değeri boy aralığına göre standarda bağlıdır</x:v>
      </x:c>
    </x:row>
  </x:sheetData>
  <x:mergeCells>
    <x:mergeCell ref="A1:N1"/>
  </x:mergeCells>
  <x:dataValidations count="3">
    <x:dataValidation type="list" sqref="G4:G10000">
      <x:formula1>"Tam diş,Kısmi diş,Özel"</x:formula1>
    </x:dataValidation>
    <x:dataValidation type="list" sqref="K4:K10000">
      <x:formula1>"1,2,3,4"</x:formula1>
    </x:dataValidation>
    <x:dataValidation type="list" sqref="M4:M10000">
      <x:formula1>"Taslak,Hesaplandı,Standarttan Girildi,Doğrulandı"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3a1837ca5417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4" hidden="0" customWidth="1"/>
    <x:col min="5" max="5" width="12" hidden="0" customWidth="1"/>
    <x:col min="6" max="6" width="10" hidden="0" customWidth="1"/>
    <x:col min="7" max="7" width="20" hidden="0" customWidth="1"/>
    <x:col min="8" max="8" width="13" hidden="0" customWidth="1"/>
    <x:col min="9" max="9" width="18" hidden="0" customWidth="1"/>
    <x:col min="10" max="10" width="16" hidden="0" customWidth="1"/>
    <x:col min="11" max="11" width="10" hidden="0" customWidth="1"/>
    <x:col min="12" max="12" width="13" hidden="0" customWidth="1"/>
    <x:col min="13" max="13" width="21" hidden="0" customWidth="1"/>
    <x:col min="14" max="14" width="15" hidden="0" customWidth="1"/>
    <x:col min="15" max="15" width="46" hidden="0" customWidth="1"/>
  </x:cols>
  <x:sheetData>
    <x:row r="1">
      <x:c r="A1" s="43" t="str">
        <x:v>SOMUN PROOF-LOAD — ISO 898-2 İLİŞKİSEL ŞEMA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</x:row>
    <x:row r="3">
      <x:c r="A3" s="52" t="str">
        <x:v>Proof_ID</x:v>
      </x:c>
      <x:c r="B3" s="52" t="str">
        <x:v>Somun Sınıfı</x:v>
      </x:c>
      <x:c r="C3" s="52" t="str">
        <x:v>Somun Tip/Stil</x:v>
      </x:c>
      <x:c r="D3" s="52" t="str">
        <x:v>Diş Aralığı</x:v>
      </x:c>
      <x:c r="E3" s="52" t="str">
        <x:v>Dis_Kodu</x:v>
      </x:c>
      <x:c r="F3" s="52" t="str">
        <x:v>Hatve</x:v>
      </x:c>
      <x:c r="G3" s="52" t="str">
        <x:v>Proof Stress Sp (MPa)</x:v>
      </x:c>
      <x:c r="H3" s="52" t="str">
        <x:v>As (mm²)</x:v>
      </x:c>
      <x:c r="I3" s="52" t="str">
        <x:v>Proof Load Fp (N)</x:v>
      </x:c>
      <x:c r="J3" s="52" t="str">
        <x:v>Test Mandreli</x:v>
      </x:c>
      <x:c r="K3" s="52" t="str">
        <x:v>Güven</x:v>
      </x:c>
      <x:c r="L3" s="52" t="str">
        <x:v>Kaynak_ID</x:v>
      </x:c>
      <x:c r="M3" s="52" t="str">
        <x:v>Durum</x:v>
      </x:c>
      <x:c r="N3" s="52" t="str">
        <x:v>Doğrulayan</x:v>
      </x:c>
      <x:c r="O3" s="52" t="str">
        <x:v>Not</x:v>
      </x:c>
    </x:row>
    <x:row r="4">
      <x:c r="A4" s="38" t="str">
        <x:v>PL-0001</x:v>
      </x:c>
      <x:c r="B4" s="38" t="str">
        <x:v>8</x:v>
      </x:c>
      <x:c r="C4" s="38" t="str">
        <x:v>Stil 1</x:v>
      </x:c>
      <x:c r="D4" s="38" t="str">
        <x:v>M5–M16</x:v>
      </x:c>
      <x:c r="E4" s="38" t="str">
        <x:v>M6</x:v>
      </x:c>
      <x:c r="F4" s="38" t="n">
        <x:v>1</x:v>
      </x:c>
      <x:c r="G4" s="38"/>
      <x:c r="H4" s="38"/>
      <x:c r="I4" s="38"/>
      <x:c r="J4" s="38"/>
      <x:c r="K4" s="38" t="n">
        <x:v>1</x:v>
      </x:c>
      <x:c r="L4" s="38" t="str">
        <x:v>SRC-011</x:v>
      </x:c>
      <x:c r="M4" s="38" t="str">
        <x:v>Lisanslı tablo gerekli</x:v>
      </x:c>
      <x:c r="N4" s="38"/>
      <x:c r="O4" s="38" t="str">
        <x:v>Tek bir 'Somun 8' satırı yerine çap ve hatve bazlı kayıt tutulmalıdır</x:v>
      </x:c>
    </x:row>
    <x:row r="5">
      <x:c r="A5" s="38" t="str">
        <x:v>PL-0002</x:v>
      </x:c>
      <x:c r="B5" s="38" t="str">
        <x:v>8</x:v>
      </x:c>
      <x:c r="C5" s="38" t="str">
        <x:v>Stil 1</x:v>
      </x:c>
      <x:c r="D5" s="38" t="str">
        <x:v>M5–M16</x:v>
      </x:c>
      <x:c r="E5" s="38" t="str">
        <x:v>M8</x:v>
      </x:c>
      <x:c r="F5" s="38" t="n">
        <x:v>1.25</x:v>
      </x:c>
      <x:c r="G5" s="38"/>
      <x:c r="H5" s="38"/>
      <x:c r="I5" s="38"/>
      <x:c r="J5" s="38"/>
      <x:c r="K5" s="38" t="n">
        <x:v>1</x:v>
      </x:c>
      <x:c r="L5" s="38" t="str">
        <x:v>SRC-011</x:v>
      </x:c>
      <x:c r="M5" s="38" t="str">
        <x:v>Lisanslı tablo gerekli</x:v>
      </x:c>
      <x:c r="N5" s="38"/>
      <x:c r="O5" s="38" t="str">
        <x:v>Sp değeri ISO 898-2 baskısına göre girilecek</x:v>
      </x:c>
    </x:row>
    <x:row r="6">
      <x:c r="A6" s="38" t="str">
        <x:v>PL-0003</x:v>
      </x:c>
      <x:c r="B6" s="38" t="str">
        <x:v>10</x:v>
      </x:c>
      <x:c r="C6" s="38" t="str">
        <x:v>Stil 1</x:v>
      </x:c>
      <x:c r="D6" s="38" t="str">
        <x:v>M5–M16</x:v>
      </x:c>
      <x:c r="E6" s="38" t="str">
        <x:v>M10</x:v>
      </x:c>
      <x:c r="F6" s="38" t="n">
        <x:v>1.5</x:v>
      </x:c>
      <x:c r="G6" s="38"/>
      <x:c r="H6" s="38"/>
      <x:c r="I6" s="38"/>
      <x:c r="J6" s="38"/>
      <x:c r="K6" s="38" t="n">
        <x:v>1</x:v>
      </x:c>
      <x:c r="L6" s="38" t="str">
        <x:v>SRC-011</x:v>
      </x:c>
      <x:c r="M6" s="38" t="str">
        <x:v>Lisanslı tablo gerekli</x:v>
      </x:c>
      <x:c r="N6" s="38"/>
      <x:c r="O6" s="38" t="str">
        <x:v>Sp değeri ISO 898-2 baskısına göre girilecek</x:v>
      </x:c>
    </x:row>
    <x:row r="7">
      <x:c r="A7" s="38" t="str">
        <x:v>PL-0004</x:v>
      </x:c>
      <x:c r="B7" s="38" t="str">
        <x:v>10</x:v>
      </x:c>
      <x:c r="C7" s="38" t="str">
        <x:v>Stil 1</x:v>
      </x:c>
      <x:c r="D7" s="38" t="str">
        <x:v>M5–M16</x:v>
      </x:c>
      <x:c r="E7" s="38" t="str">
        <x:v>M12</x:v>
      </x:c>
      <x:c r="F7" s="38" t="n">
        <x:v>1.75</x:v>
      </x:c>
      <x:c r="G7" s="38"/>
      <x:c r="H7" s="38"/>
      <x:c r="I7" s="38"/>
      <x:c r="J7" s="38"/>
      <x:c r="K7" s="38" t="n">
        <x:v>1</x:v>
      </x:c>
      <x:c r="L7" s="38" t="str">
        <x:v>SRC-011</x:v>
      </x:c>
      <x:c r="M7" s="38" t="str">
        <x:v>Lisanslı tablo gerekli</x:v>
      </x:c>
      <x:c r="N7" s="38"/>
      <x:c r="O7" s="38" t="str">
        <x:v>Fp = Sp × As, ancak Sp doğrulanmadan hesaplanmayacak</x:v>
      </x:c>
    </x:row>
  </x:sheetData>
  <x:mergeCells>
    <x:mergeCell ref="A1:O1"/>
  </x:mergeCells>
  <x:dataValidations count="1">
    <x:dataValidation type="list" sqref="K4:K1000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2a8491329449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38" hidden="0" customWidth="1"/>
    <x:col min="4" max="4" width="22" hidden="0" customWidth="1"/>
    <x:col min="5" max="5" width="24" hidden="0" customWidth="1"/>
    <x:col min="6" max="6" width="10" hidden="0" customWidth="1"/>
    <x:col min="7" max="7" width="42" hidden="0" customWidth="1"/>
    <x:col min="8" max="8" width="40" hidden="0" customWidth="1"/>
    <x:col min="9" max="9" width="27" hidden="0" customWidth="1"/>
    <x:col min="10" max="10" width="19" hidden="0" customWidth="1"/>
  </x:cols>
  <x:sheetData>
    <x:row r="1">
      <x:c r="A1" s="43" t="str">
        <x:v>WEB + ZIP ARAŞTIRMA VE DOĞRULAMA RAPORU — v3.1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>
      <x:c r="A3" s="52" t="str">
        <x:v>Konu</x:v>
      </x:c>
      <x:c r="B3" s="52" t="str">
        <x:v>Hedef Alan</x:v>
      </x:c>
      <x:c r="C3" s="52" t="str">
        <x:v>Sonuç</x:v>
      </x:c>
      <x:c r="D3" s="52" t="str">
        <x:v>Doldurulan Kayıt</x:v>
      </x:c>
      <x:c r="E3" s="52" t="str">
        <x:v>Kaynak</x:v>
      </x:c>
      <x:c r="F3" s="52" t="str">
        <x:v>Güven</x:v>
      </x:c>
      <x:c r="G3" s="52" t="str">
        <x:v>Neden</x:v>
      </x:c>
      <x:c r="H3" s="52" t="str">
        <x:v>Sonraki Doğrulama</x:v>
      </x:c>
      <x:c r="I3" s="52" t="str">
        <x:v>TorqPro Kullanımı</x:v>
      </x:c>
      <x:c r="J3" s="52" t="str">
        <x:v>Durum</x:v>
      </x:c>
    </x:row>
    <x:row r="4">
      <x:c r="A4" s="38" t="str">
        <x:v>ISO 7040</x:v>
      </x:c>
      <x:c r="B4" s="38" t="str">
        <x:v>Somun yüksekliği m</x:v>
      </x:c>
      <x:c r="C4" s="38" t="str">
        <x:v>M6/M8/M10/M12 değerleri çapraz kontrol edildi</x:v>
      </x:c>
      <x:c r="D4" s="38" t="str">
        <x:v>NG-0018…NG-0021</x:v>
      </x:c>
      <x:c r="E4" s="38" t="str">
        <x:v>SRC-010</x:v>
      </x:c>
      <x:c r="F4" s="38" t="n">
        <x:v>2</x:v>
      </x:c>
      <x:c r="G4" s="38" t="str">
        <x:v>Kamuya açık teknik tablo ile uyumlu; lisanslı standart kopyası değil</x:v>
      </x:c>
      <x:c r="H4" s="38" t="str">
        <x:v>ISO 7040 lisanslı tablo veya üretici sertifikalı çizim</x:v>
      </x:c>
      <x:c r="I4" s="38" t="str">
        <x:v>Yalnız taslak/ön seçim</x:v>
      </x:c>
      <x:c r="J4" s="38" t="str">
        <x:v>Kısmen tamamlandı</x:v>
      </x:c>
    </x:row>
    <x:row r="5">
      <x:c r="A5" s="38" t="str">
        <x:v>ISO 898-2</x:v>
      </x:c>
      <x:c r="B5" s="38" t="str">
        <x:v>Somun proof-load</x:v>
      </x:c>
      <x:c r="C5" s="38" t="str">
        <x:v>Tek sınıf hücresi yaklaşımı reddedildi; ilişkisel tablo kuruldu</x:v>
      </x:c>
      <x:c r="D5" s="38" t="str">
        <x:v>PL-0001…PL-0004</x:v>
      </x:c>
      <x:c r="E5" s="38" t="str">
        <x:v>SRC-011</x:v>
      </x:c>
      <x:c r="F5" s="38" t="n">
        <x:v>1</x:v>
      </x:c>
      <x:c r="G5" s="38" t="str">
        <x:v>Proof stress çap, hatve, somun stili ve sınıfa göre değişir</x:v>
      </x:c>
      <x:c r="H5" s="38" t="str">
        <x:v>Standart tablo satırlarını doğrulanmış olarak gir</x:v>
      </x:c>
      <x:c r="I5" s="38" t="str">
        <x:v>Henüz kullanılmamalı</x:v>
      </x:c>
      <x:c r="J5" s="38" t="str">
        <x:v>Şema tamamlandı</x:v>
      </x:c>
    </x:row>
    <x:row r="6">
      <x:c r="A6" s="38" t="str">
        <x:v>ISO 16047</x:v>
      </x:c>
      <x:c r="B6" s="38" t="str">
        <x:v>μ_thread / μ_bearing</x:v>
      </x:c>
      <x:c r="C6" s="38" t="str">
        <x:v>μtotal değerlerinden ayrıştırma yapılmadı</x:v>
      </x:c>
      <x:c r="D6" s="38" t="str">
        <x:v>COAT-001…COAT-006</x:v>
      </x:c>
      <x:c r="E6" s="38" t="str">
        <x:v>SRC-012</x:v>
      </x:c>
      <x:c r="F6" s="38" t="n">
        <x:v>1</x:v>
      </x:c>
      <x:c r="G6" s="38" t="str">
        <x:v>Matematiksel olarak tekil ve güvenilir ayrıştırma mümkün değil</x:v>
      </x:c>
      <x:c r="H6" s="38" t="str">
        <x:v>Üretici ISO 16047 test raporu veya laboratuvar testi</x:v>
      </x:c>
      <x:c r="I6" s="38" t="str">
        <x:v>μtotal yalnız uyarılı tahmin</x:v>
      </x:c>
      <x:c r="J6" s="38" t="str">
        <x:v>Bekliyor</x:v>
      </x:c>
    </x:row>
    <x:row r="7">
      <x:c r="A7" s="38" t="str">
        <x:v>ZIP arşivi</x:v>
      </x:c>
      <x:c r="B7" s="38" t="str">
        <x:v>395 görsel</x:v>
      </x:c>
      <x:c r="C7" s="38" t="str">
        <x:v>Kaynak arşivi mevcut; görüntüler konu bazında otomatik güvenli veri üretmiyor</x:v>
      </x:c>
      <x:c r="D7" s="38" t="str">
        <x:v>SRC-006</x:v>
      </x:c>
      <x:c r="E7" s="38" t="str">
        <x:v>395 dosyalı ZIP</x:v>
      </x:c>
      <x:c r="F7" s="38" t="n">
        <x:v>1</x:v>
      </x:c>
      <x:c r="G7" s="38" t="str">
        <x:v>Birçok sayfa kitap/katalog fotoğrafı ve perspektif içeriyor</x:v>
      </x:c>
      <x:c r="H7" s="38" t="str">
        <x:v>Hedef sayfaları manuel sınıflandır ve ikinci kişiyle kontrol et</x:v>
      </x:c>
      <x:c r="I7" s="38" t="str">
        <x:v>Doğrudan kullanılmamalı</x:v>
      </x:c>
      <x:c r="J7" s="38" t="str">
        <x:v>İndeksleme gerekli</x:v>
      </x:c>
    </x:row>
    <x:row r="8">
      <x:c r="A8" s="38" t="str">
        <x:v>Veri mimarisi</x:v>
      </x:c>
      <x:c r="B8" s="38" t="str">
        <x:v>Ürün aileleri</x:v>
      </x:c>
      <x:c r="C8" s="38" t="str">
        <x:v>Bağımsız ürün ailesi tablosu eklendi</x:v>
      </x:c>
      <x:c r="D8" s="38" t="str">
        <x:v>FAM-*</x:v>
      </x:c>
      <x:c r="E8" s="38" t="str">
        <x:v>v3.1 iç veri modeli</x:v>
      </x:c>
      <x:c r="F8" s="38" t="n">
        <x:v>2</x:v>
      </x:c>
      <x:c r="G8" s="38" t="str">
        <x:v>Standart ve geometri tablolarını ölçeklenebilir bağlar</x:v>
      </x:c>
      <x:c r="H8" s="38" t="str">
        <x:v>Her aileye revizyon ve kaynak bağla</x:v>
      </x:c>
      <x:c r="I8" s="38" t="str">
        <x:v>Seçim ekranı için hazır</x:v>
      </x:c>
      <x:c r="J8" s="38" t="str">
        <x:v>Tamamlandı</x:v>
      </x:c>
    </x:row>
    <x:row r="9">
      <x:c r="A9" s="38" t="str">
        <x:v>Veri mimarisi</x:v>
      </x:c>
      <x:c r="B9" s="38" t="str">
        <x:v>Boy serileri</x:v>
      </x:c>
      <x:c r="C9" s="38" t="str">
        <x:v>Çap/boy/diş boyu ilişkisel şeması eklendi</x:v>
      </x:c>
      <x:c r="D9" s="38" t="str">
        <x:v>LEN-*</x:v>
      </x:c>
      <x:c r="E9" s="38" t="str">
        <x:v>v3.1 iç veri modeli</x:v>
      </x:c>
      <x:c r="F9" s="38" t="n">
        <x:v>1</x:v>
      </x:c>
      <x:c r="G9" s="38" t="str">
        <x:v>ISO 4014/4017 boy serileri henüz kaynak verisi bekliyor</x:v>
      </x:c>
      <x:c r="H9" s="38" t="str">
        <x:v>Standart boy ve b tablolarını gir</x:v>
      </x:c>
      <x:c r="I9" s="38" t="str">
        <x:v>Entegrasyon öncesi tamamlanmalı</x:v>
      </x:c>
      <x:c r="J9" s="38" t="str">
        <x:v>Şema tamamlandı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a2cb97d06bd64466"/>
  </x:tableParts>
</x:worksheet>
</file>